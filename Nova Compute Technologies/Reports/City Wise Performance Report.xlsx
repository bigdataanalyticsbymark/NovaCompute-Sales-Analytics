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Reports\"/>
    </mc:Choice>
  </mc:AlternateContent>
  <xr:revisionPtr revIDLastSave="0" documentId="13_ncr:1_{B6D4110A-2C3C-4509-9C40-DD8A62A15555}" xr6:coauthVersionLast="47" xr6:coauthVersionMax="47" xr10:uidLastSave="{00000000-0000-0000-0000-000000000000}"/>
  <bookViews>
    <workbookView xWindow="-108" yWindow="-108" windowWidth="23256" windowHeight="12456" xr2:uid="{8024999B-8B4C-4D68-B586-FD9762C2CA8A}"/>
  </bookViews>
  <sheets>
    <sheet name="City Wise Report" sheetId="2" r:id="rId1"/>
    <sheet name="Store Performance" sheetId="3" r:id="rId2"/>
    <sheet name="Sales Master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3" l="1"/>
  <c r="J3" i="3"/>
  <c r="J4" i="3"/>
  <c r="J5" i="3"/>
  <c r="J6" i="3"/>
  <c r="J7" i="3"/>
  <c r="J8" i="3"/>
  <c r="J9" i="3"/>
  <c r="J10" i="3"/>
  <c r="J11" i="3"/>
  <c r="J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2" i="1"/>
</calcChain>
</file>

<file path=xl/sharedStrings.xml><?xml version="1.0" encoding="utf-8"?>
<sst xmlns="http://schemas.openxmlformats.org/spreadsheetml/2006/main" count="255" uniqueCount="36">
  <si>
    <t>Grand Total</t>
  </si>
  <si>
    <t>Delhi</t>
  </si>
  <si>
    <t>Kolkata</t>
  </si>
  <si>
    <t>Mapsua</t>
  </si>
  <si>
    <t>Mumbai</t>
  </si>
  <si>
    <t>Bangalore</t>
  </si>
  <si>
    <t>Chennai</t>
  </si>
  <si>
    <t>Kochi</t>
  </si>
  <si>
    <t>City</t>
  </si>
  <si>
    <t>Alibaba</t>
  </si>
  <si>
    <t>Amazon</t>
  </si>
  <si>
    <t>Croma</t>
  </si>
  <si>
    <t>Direct</t>
  </si>
  <si>
    <t>eBay</t>
  </si>
  <si>
    <t>Flipkart</t>
  </si>
  <si>
    <t>Meesho</t>
  </si>
  <si>
    <t>Reliance Digital</t>
  </si>
  <si>
    <t>Snapdeal</t>
  </si>
  <si>
    <t>Vijay Sales</t>
  </si>
  <si>
    <t>Store Name</t>
  </si>
  <si>
    <t>Client Count</t>
  </si>
  <si>
    <t>No. of Clients</t>
  </si>
  <si>
    <t>Quantity 2024</t>
  </si>
  <si>
    <t>Quantity 2025</t>
  </si>
  <si>
    <t>Amount 2024</t>
  </si>
  <si>
    <t>Amount 2025</t>
  </si>
  <si>
    <t>Total Quantity</t>
  </si>
  <si>
    <t>Total Amount</t>
  </si>
  <si>
    <t>Quantity Sold 2024</t>
  </si>
  <si>
    <t>Revenue Amount 2025</t>
  </si>
  <si>
    <t>Growth %</t>
  </si>
  <si>
    <t>Quantity Sold 2025</t>
  </si>
  <si>
    <t>Contribution %</t>
  </si>
  <si>
    <t>Total Quantity Sold</t>
  </si>
  <si>
    <t>Total Revenue Amount</t>
  </si>
  <si>
    <t>Revenue Amount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</si>
</sst>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₹&quot;\ #,##0;&quot;₹&quot;\ \-#,##0"/>
    <numFmt numFmtId="43" formatCode="_ * #,##0.00_ ;_ * \-#,##0.00_ ;_ * &quot;-&quot;??_ ;_ @_ "/>
    <numFmt numFmtId="164" formatCode="_ * #,##0_ ;_ * \-#,##0_ ;_ * &quot;-&quot;??_ ;_ @_ "/>
    <numFmt numFmtId="165" formatCode="_ * #,##0_ &quot;%&quot;\ ;_ * \-#,##0_ &quot;%&quot;\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0" fontId="3" fillId="0" borderId="3" xfId="0" applyFont="1" applyBorder="1"/>
    <xf numFmtId="0" fontId="0" fillId="0" borderId="3" xfId="0" applyBorder="1"/>
    <xf numFmtId="164" fontId="0" fillId="0" borderId="3" xfId="1" applyNumberFormat="1" applyFont="1" applyBorder="1"/>
    <xf numFmtId="164" fontId="0" fillId="0" borderId="3" xfId="0" applyNumberFormat="1" applyBorder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164" fontId="4" fillId="2" borderId="0" xfId="0" applyNumberFormat="1" applyFont="1" applyFill="1"/>
    <xf numFmtId="5" fontId="4" fillId="2" borderId="0" xfId="0" applyNumberFormat="1" applyFont="1" applyFill="1"/>
    <xf numFmtId="165" fontId="4" fillId="2" borderId="0" xfId="0" applyNumberFormat="1" applyFont="1" applyFill="1"/>
    <xf numFmtId="0" fontId="5" fillId="3" borderId="0" xfId="0" applyFont="1" applyFill="1" applyAlignment="1">
      <alignment horizontal="left"/>
    </xf>
    <xf numFmtId="164" fontId="5" fillId="3" borderId="0" xfId="0" applyNumberFormat="1" applyFont="1" applyFill="1"/>
    <xf numFmtId="5" fontId="5" fillId="3" borderId="0" xfId="0" applyNumberFormat="1" applyFont="1" applyFill="1"/>
    <xf numFmtId="165" fontId="5" fillId="3" borderId="0" xfId="0" applyNumberFormat="1" applyFont="1" applyFill="1"/>
    <xf numFmtId="0" fontId="5" fillId="3" borderId="0" xfId="0" applyFont="1" applyFill="1" applyAlignment="1">
      <alignment horizontal="left" indent="1"/>
    </xf>
    <xf numFmtId="165" fontId="2" fillId="2" borderId="2" xfId="0" applyNumberFormat="1" applyFont="1" applyFill="1" applyBorder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87">
    <dxf>
      <numFmt numFmtId="9" formatCode="&quot;₹&quot;\ #,##0;&quot;₹&quot;\ \-#,##0"/>
    </dxf>
    <dxf>
      <numFmt numFmtId="9" formatCode="&quot;₹&quot;\ #,##0;&quot;₹&quot;\ \-#,##0"/>
    </dxf>
    <dxf>
      <font>
        <color theme="0"/>
      </font>
    </dxf>
    <dxf>
      <fill>
        <patternFill patternType="solid">
          <bgColor theme="4" tint="-0.499984740745262"/>
        </patternFill>
      </fill>
    </dxf>
    <dxf>
      <numFmt numFmtId="9" formatCode="&quot;₹&quot;\ #,##0;&quot;₹&quot;\ \-#,##0"/>
    </dxf>
    <dxf>
      <font>
        <color theme="0"/>
      </font>
    </dxf>
    <dxf>
      <fill>
        <patternFill>
          <bgColor theme="4" tint="-0.499984740745262"/>
        </patternFill>
      </fill>
    </dxf>
    <dxf>
      <font>
        <color rgb="FF002060"/>
      </font>
    </dxf>
    <dxf>
      <fill>
        <patternFill patternType="solid">
          <bgColor theme="0"/>
        </patternFill>
      </fill>
    </dxf>
    <dxf>
      <font>
        <color rgb="FF002060"/>
      </font>
    </dxf>
    <dxf>
      <font>
        <color rgb="FF00206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numFmt numFmtId="165" formatCode="_ * #,##0_ &quot;%&quot;\ ;_ * \-#,##0_ &quot;%&quot;\ ;_ * &quot;-&quot;??_ ;_ @_ 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_ * #,##0_ &quot;%&quot;\ ;_ * \-#,##0_ &quot;%&quot;\ ;_ * &quot;-&quot;??_ ;_ @_ "/>
    </dxf>
    <dxf>
      <font>
        <color theme="0"/>
      </font>
    </dxf>
    <dxf>
      <fill>
        <patternFill patternType="solid">
          <bgColor theme="4" tint="-0.499984740745262"/>
        </patternFill>
      </fill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" refreshedDate="45983.486041435186" createdVersion="8" refreshedVersion="8" minRefreshableVersion="3" recordCount="70" xr:uid="{B43FF513-798B-457B-BDDF-0C705FC90639}">
  <cacheSource type="worksheet">
    <worksheetSource ref="A1:I71" sheet="Sales Master"/>
  </cacheSource>
  <cacheFields count="10">
    <cacheField name="City" numFmtId="0">
      <sharedItems count="7">
        <s v="Bangalore"/>
        <s v="Chennai"/>
        <s v="Delhi"/>
        <s v="Kochi"/>
        <s v="Kolkata"/>
        <s v="Mapsua"/>
        <s v="Mumbai"/>
      </sharedItems>
    </cacheField>
    <cacheField name="Store Name" numFmtId="0">
      <sharedItems count="10">
        <s v="Alibaba"/>
        <s v="Amazon"/>
        <s v="Croma"/>
        <s v="Direct"/>
        <s v="eBay"/>
        <s v="Flipkart"/>
        <s v="Meesho"/>
        <s v="Reliance Digital"/>
        <s v="Snapdeal"/>
        <s v="Vijay Sales"/>
      </sharedItems>
    </cacheField>
    <cacheField name="Client Count" numFmtId="164">
      <sharedItems containsSemiMixedTypes="0" containsString="0" containsNumber="1" containsInteger="1" minValue="98" maxValue="356"/>
    </cacheField>
    <cacheField name="Quantity 2024" numFmtId="164">
      <sharedItems containsSemiMixedTypes="0" containsString="0" containsNumber="1" containsInteger="1" minValue="601" maxValue="3164"/>
    </cacheField>
    <cacheField name="Quantity 2025" numFmtId="164">
      <sharedItems containsSemiMixedTypes="0" containsString="0" containsNumber="1" containsInteger="1" minValue="1173" maxValue="4458"/>
    </cacheField>
    <cacheField name="Amount 2024" numFmtId="164">
      <sharedItems containsSemiMixedTypes="0" containsString="0" containsNumber="1" containsInteger="1" minValue="37568206" maxValue="196844230"/>
    </cacheField>
    <cacheField name="Amount 2025" numFmtId="164">
      <sharedItems containsSemiMixedTypes="0" containsString="0" containsNumber="1" containsInteger="1" minValue="65821863" maxValue="297880189"/>
    </cacheField>
    <cacheField name="Total Quantity" numFmtId="164">
      <sharedItems containsSemiMixedTypes="0" containsString="0" containsNumber="1" containsInteger="1" minValue="2033" maxValue="7442"/>
    </cacheField>
    <cacheField name="Total Amount" numFmtId="164">
      <sharedItems containsSemiMixedTypes="0" containsString="0" containsNumber="1" containsInteger="1" minValue="119127940" maxValue="473910908"/>
    </cacheField>
    <cacheField name="% Growth" numFmtId="0" formula="IFERROR(((('Amount 2025'-'Amount 2024')/'Amount 2024')*100)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n v="130"/>
    <n v="1176"/>
    <n v="1502"/>
    <n v="80103137"/>
    <n v="101436580"/>
    <n v="2678"/>
    <n v="181539717"/>
  </r>
  <r>
    <x v="0"/>
    <x v="1"/>
    <n v="119"/>
    <n v="901"/>
    <n v="1399"/>
    <n v="60772969"/>
    <n v="87738953"/>
    <n v="2300"/>
    <n v="148511922"/>
  </r>
  <r>
    <x v="0"/>
    <x v="2"/>
    <n v="216"/>
    <n v="1845"/>
    <n v="2869"/>
    <n v="94005304"/>
    <n v="180171695"/>
    <n v="4714"/>
    <n v="274176999"/>
  </r>
  <r>
    <x v="0"/>
    <x v="3"/>
    <n v="348"/>
    <n v="2619"/>
    <n v="4383"/>
    <n v="149732961"/>
    <n v="297880189"/>
    <n v="7002"/>
    <n v="447613150"/>
  </r>
  <r>
    <x v="0"/>
    <x v="4"/>
    <n v="118"/>
    <n v="788"/>
    <n v="1627"/>
    <n v="51034907"/>
    <n v="103923630"/>
    <n v="2415"/>
    <n v="154958537"/>
  </r>
  <r>
    <x v="0"/>
    <x v="5"/>
    <n v="117"/>
    <n v="907"/>
    <n v="1482"/>
    <n v="51666590"/>
    <n v="82325862"/>
    <n v="2389"/>
    <n v="133992452"/>
  </r>
  <r>
    <x v="0"/>
    <x v="6"/>
    <n v="131"/>
    <n v="1080"/>
    <n v="1357"/>
    <n v="70010892"/>
    <n v="83666841"/>
    <n v="2437"/>
    <n v="153677733"/>
  </r>
  <r>
    <x v="0"/>
    <x v="7"/>
    <n v="219"/>
    <n v="2007"/>
    <n v="2502"/>
    <n v="129067869"/>
    <n v="170822486"/>
    <n v="4509"/>
    <n v="299890355"/>
  </r>
  <r>
    <x v="0"/>
    <x v="8"/>
    <n v="117"/>
    <n v="1208"/>
    <n v="1331"/>
    <n v="66111395"/>
    <n v="72081310"/>
    <n v="2539"/>
    <n v="138192705"/>
  </r>
  <r>
    <x v="0"/>
    <x v="9"/>
    <n v="243"/>
    <n v="1946"/>
    <n v="2763"/>
    <n v="123134477"/>
    <n v="178673236"/>
    <n v="4709"/>
    <n v="301807713"/>
  </r>
  <r>
    <x v="1"/>
    <x v="0"/>
    <n v="113"/>
    <n v="1006"/>
    <n v="1173"/>
    <n v="66393341"/>
    <n v="83695932"/>
    <n v="2179"/>
    <n v="150089273"/>
  </r>
  <r>
    <x v="1"/>
    <x v="1"/>
    <n v="125"/>
    <n v="807"/>
    <n v="1519"/>
    <n v="53273702"/>
    <n v="90897037"/>
    <n v="2326"/>
    <n v="144170739"/>
  </r>
  <r>
    <x v="1"/>
    <x v="2"/>
    <n v="227"/>
    <n v="2198"/>
    <n v="2577"/>
    <n v="130341099"/>
    <n v="153853265"/>
    <n v="4775"/>
    <n v="284194364"/>
  </r>
  <r>
    <x v="1"/>
    <x v="3"/>
    <n v="329"/>
    <n v="2765"/>
    <n v="3809"/>
    <n v="184590388"/>
    <n v="246924745"/>
    <n v="6574"/>
    <n v="431515133"/>
  </r>
  <r>
    <x v="1"/>
    <x v="4"/>
    <n v="129"/>
    <n v="1226"/>
    <n v="1507"/>
    <n v="74977229"/>
    <n v="84012117"/>
    <n v="2733"/>
    <n v="158989346"/>
  </r>
  <r>
    <x v="1"/>
    <x v="5"/>
    <n v="123"/>
    <n v="1104"/>
    <n v="1504"/>
    <n v="45531382"/>
    <n v="97535039"/>
    <n v="2608"/>
    <n v="143066421"/>
  </r>
  <r>
    <x v="1"/>
    <x v="6"/>
    <n v="135"/>
    <n v="1295"/>
    <n v="1439"/>
    <n v="91727216"/>
    <n v="89944296"/>
    <n v="2734"/>
    <n v="181671512"/>
  </r>
  <r>
    <x v="1"/>
    <x v="7"/>
    <n v="213"/>
    <n v="1616"/>
    <n v="2656"/>
    <n v="101379758"/>
    <n v="161603199"/>
    <n v="4272"/>
    <n v="262982957"/>
  </r>
  <r>
    <x v="1"/>
    <x v="8"/>
    <n v="144"/>
    <n v="1316"/>
    <n v="1863"/>
    <n v="77571966"/>
    <n v="113642048"/>
    <n v="3179"/>
    <n v="191214014"/>
  </r>
  <r>
    <x v="1"/>
    <x v="9"/>
    <n v="211"/>
    <n v="1721"/>
    <n v="2577"/>
    <n v="112706131"/>
    <n v="149443296"/>
    <n v="4298"/>
    <n v="262149427"/>
  </r>
  <r>
    <x v="2"/>
    <x v="0"/>
    <n v="103"/>
    <n v="763"/>
    <n v="1459"/>
    <n v="47377501"/>
    <n v="98130350"/>
    <n v="2222"/>
    <n v="145507851"/>
  </r>
  <r>
    <x v="2"/>
    <x v="1"/>
    <n v="128"/>
    <n v="909"/>
    <n v="1877"/>
    <n v="56785614"/>
    <n v="108982589"/>
    <n v="2786"/>
    <n v="165768203"/>
  </r>
  <r>
    <x v="2"/>
    <x v="2"/>
    <n v="197"/>
    <n v="1971"/>
    <n v="2226"/>
    <n v="139020070"/>
    <n v="147908661"/>
    <n v="4197"/>
    <n v="286928731"/>
  </r>
  <r>
    <x v="2"/>
    <x v="3"/>
    <n v="356"/>
    <n v="3164"/>
    <n v="4278"/>
    <n v="196844230"/>
    <n v="259025320"/>
    <n v="7442"/>
    <n v="455869550"/>
  </r>
  <r>
    <x v="2"/>
    <x v="4"/>
    <n v="127"/>
    <n v="877"/>
    <n v="1603"/>
    <n v="44872504"/>
    <n v="95771911"/>
    <n v="2480"/>
    <n v="140644415"/>
  </r>
  <r>
    <x v="2"/>
    <x v="5"/>
    <n v="129"/>
    <n v="841"/>
    <n v="1961"/>
    <n v="43791383"/>
    <n v="134102093"/>
    <n v="2802"/>
    <n v="177893476"/>
  </r>
  <r>
    <x v="2"/>
    <x v="6"/>
    <n v="106"/>
    <n v="812"/>
    <n v="1370"/>
    <n v="46619389"/>
    <n v="88049793"/>
    <n v="2182"/>
    <n v="134669182"/>
  </r>
  <r>
    <x v="2"/>
    <x v="7"/>
    <n v="188"/>
    <n v="1558"/>
    <n v="2296"/>
    <n v="108248899"/>
    <n v="148603503"/>
    <n v="3854"/>
    <n v="256852402"/>
  </r>
  <r>
    <x v="2"/>
    <x v="8"/>
    <n v="115"/>
    <n v="844"/>
    <n v="1400"/>
    <n v="64088933"/>
    <n v="81029840"/>
    <n v="2244"/>
    <n v="145118773"/>
  </r>
  <r>
    <x v="2"/>
    <x v="9"/>
    <n v="234"/>
    <n v="2021"/>
    <n v="2676"/>
    <n v="109317575"/>
    <n v="159981021"/>
    <n v="4697"/>
    <n v="269298596"/>
  </r>
  <r>
    <x v="3"/>
    <x v="0"/>
    <n v="132"/>
    <n v="1026"/>
    <n v="1645"/>
    <n v="67749238"/>
    <n v="112084693"/>
    <n v="2671"/>
    <n v="179833931"/>
  </r>
  <r>
    <x v="3"/>
    <x v="1"/>
    <n v="106"/>
    <n v="873"/>
    <n v="1237"/>
    <n v="59870309"/>
    <n v="65821863"/>
    <n v="2110"/>
    <n v="125692172"/>
  </r>
  <r>
    <x v="3"/>
    <x v="2"/>
    <n v="223"/>
    <n v="1920"/>
    <n v="2545"/>
    <n v="117233040"/>
    <n v="158520499"/>
    <n v="4465"/>
    <n v="275753539"/>
  </r>
  <r>
    <x v="3"/>
    <x v="3"/>
    <n v="332"/>
    <n v="2673"/>
    <n v="4085"/>
    <n v="168100008"/>
    <n v="268919823"/>
    <n v="6758"/>
    <n v="437019831"/>
  </r>
  <r>
    <x v="3"/>
    <x v="4"/>
    <n v="128"/>
    <n v="1071"/>
    <n v="1541"/>
    <n v="58433274"/>
    <n v="104102481"/>
    <n v="2612"/>
    <n v="162535755"/>
  </r>
  <r>
    <x v="3"/>
    <x v="5"/>
    <n v="127"/>
    <n v="958"/>
    <n v="1567"/>
    <n v="65020857"/>
    <n v="96020605"/>
    <n v="2525"/>
    <n v="161041462"/>
  </r>
  <r>
    <x v="3"/>
    <x v="6"/>
    <n v="125"/>
    <n v="1170"/>
    <n v="1586"/>
    <n v="76735481"/>
    <n v="109566642"/>
    <n v="2756"/>
    <n v="186302123"/>
  </r>
  <r>
    <x v="3"/>
    <x v="7"/>
    <n v="221"/>
    <n v="2001"/>
    <n v="2547"/>
    <n v="146021446"/>
    <n v="145935928"/>
    <n v="4548"/>
    <n v="291957374"/>
  </r>
  <r>
    <x v="3"/>
    <x v="8"/>
    <n v="122"/>
    <n v="1048"/>
    <n v="1434"/>
    <n v="65537990"/>
    <n v="86962355"/>
    <n v="2482"/>
    <n v="152500345"/>
  </r>
  <r>
    <x v="3"/>
    <x v="9"/>
    <n v="231"/>
    <n v="1926"/>
    <n v="2593"/>
    <n v="125928809"/>
    <n v="160385459"/>
    <n v="4519"/>
    <n v="286314268"/>
  </r>
  <r>
    <x v="4"/>
    <x v="0"/>
    <n v="108"/>
    <n v="1016"/>
    <n v="1201"/>
    <n v="62548837"/>
    <n v="77230268"/>
    <n v="2217"/>
    <n v="139779105"/>
  </r>
  <r>
    <x v="4"/>
    <x v="1"/>
    <n v="137"/>
    <n v="1110"/>
    <n v="1610"/>
    <n v="70292791"/>
    <n v="89491835"/>
    <n v="2720"/>
    <n v="159784626"/>
  </r>
  <r>
    <x v="4"/>
    <x v="2"/>
    <n v="213"/>
    <n v="1663"/>
    <n v="2586"/>
    <n v="104348183"/>
    <n v="150583997"/>
    <n v="4249"/>
    <n v="254932180"/>
  </r>
  <r>
    <x v="4"/>
    <x v="3"/>
    <n v="356"/>
    <n v="2748"/>
    <n v="4458"/>
    <n v="168566325"/>
    <n v="275996831"/>
    <n v="7206"/>
    <n v="444563156"/>
  </r>
  <r>
    <x v="4"/>
    <x v="4"/>
    <n v="142"/>
    <n v="1090"/>
    <n v="1725"/>
    <n v="79411451"/>
    <n v="88542630"/>
    <n v="2815"/>
    <n v="167954081"/>
  </r>
  <r>
    <x v="4"/>
    <x v="5"/>
    <n v="103"/>
    <n v="723"/>
    <n v="1364"/>
    <n v="37568206"/>
    <n v="82270991"/>
    <n v="2087"/>
    <n v="119839197"/>
  </r>
  <r>
    <x v="4"/>
    <x v="6"/>
    <n v="148"/>
    <n v="1349"/>
    <n v="1585"/>
    <n v="93259395"/>
    <n v="103630007"/>
    <n v="2934"/>
    <n v="196889402"/>
  </r>
  <r>
    <x v="4"/>
    <x v="7"/>
    <n v="205"/>
    <n v="2028"/>
    <n v="2316"/>
    <n v="123388759"/>
    <n v="134970384"/>
    <n v="4344"/>
    <n v="258359143"/>
  </r>
  <r>
    <x v="4"/>
    <x v="8"/>
    <n v="109"/>
    <n v="841"/>
    <n v="1382"/>
    <n v="45772360"/>
    <n v="90147168"/>
    <n v="2223"/>
    <n v="135919528"/>
  </r>
  <r>
    <x v="4"/>
    <x v="9"/>
    <n v="226"/>
    <n v="1748"/>
    <n v="2802"/>
    <n v="101397089"/>
    <n v="191799641"/>
    <n v="4550"/>
    <n v="293196730"/>
  </r>
  <r>
    <x v="5"/>
    <x v="0"/>
    <n v="142"/>
    <n v="1136"/>
    <n v="1723"/>
    <n v="75160143"/>
    <n v="100034581"/>
    <n v="2859"/>
    <n v="175194724"/>
  </r>
  <r>
    <x v="5"/>
    <x v="1"/>
    <n v="108"/>
    <n v="863"/>
    <n v="1318"/>
    <n v="55988687"/>
    <n v="78234898"/>
    <n v="2181"/>
    <n v="134223585"/>
  </r>
  <r>
    <x v="5"/>
    <x v="2"/>
    <n v="212"/>
    <n v="1835"/>
    <n v="2491"/>
    <n v="127717041"/>
    <n v="156326068"/>
    <n v="4326"/>
    <n v="284043109"/>
  </r>
  <r>
    <x v="5"/>
    <x v="3"/>
    <n v="331"/>
    <n v="2331"/>
    <n v="3881"/>
    <n v="173071714"/>
    <n v="266495662"/>
    <n v="6212"/>
    <n v="439567376"/>
  </r>
  <r>
    <x v="5"/>
    <x v="4"/>
    <n v="106"/>
    <n v="960"/>
    <n v="1346"/>
    <n v="61198867"/>
    <n v="70455975"/>
    <n v="2306"/>
    <n v="131654842"/>
  </r>
  <r>
    <x v="5"/>
    <x v="5"/>
    <n v="131"/>
    <n v="1426"/>
    <n v="1437"/>
    <n v="96296832"/>
    <n v="82628180"/>
    <n v="2863"/>
    <n v="178925012"/>
  </r>
  <r>
    <x v="5"/>
    <x v="6"/>
    <n v="123"/>
    <n v="864"/>
    <n v="1727"/>
    <n v="59155161"/>
    <n v="109961223"/>
    <n v="2591"/>
    <n v="169116384"/>
  </r>
  <r>
    <x v="5"/>
    <x v="7"/>
    <n v="193"/>
    <n v="1534"/>
    <n v="2558"/>
    <n v="93879781"/>
    <n v="153125221"/>
    <n v="4092"/>
    <n v="247005002"/>
  </r>
  <r>
    <x v="5"/>
    <x v="8"/>
    <n v="108"/>
    <n v="862"/>
    <n v="1488"/>
    <n v="47393871"/>
    <n v="82741773"/>
    <n v="2350"/>
    <n v="130135644"/>
  </r>
  <r>
    <x v="5"/>
    <x v="9"/>
    <n v="219"/>
    <n v="1882"/>
    <n v="2801"/>
    <n v="140408374"/>
    <n v="160517612"/>
    <n v="4683"/>
    <n v="300925986"/>
  </r>
  <r>
    <x v="6"/>
    <x v="0"/>
    <n v="105"/>
    <n v="884"/>
    <n v="1218"/>
    <n v="55331216"/>
    <n v="74714983"/>
    <n v="2102"/>
    <n v="130046199"/>
  </r>
  <r>
    <x v="6"/>
    <x v="1"/>
    <n v="98"/>
    <n v="601"/>
    <n v="1432"/>
    <n v="38531290"/>
    <n v="80596650"/>
    <n v="2033"/>
    <n v="119127940"/>
  </r>
  <r>
    <x v="6"/>
    <x v="2"/>
    <n v="243"/>
    <n v="2162"/>
    <n v="2849"/>
    <n v="140434530"/>
    <n v="194157783"/>
    <n v="5011"/>
    <n v="334592313"/>
  </r>
  <r>
    <x v="6"/>
    <x v="3"/>
    <n v="336"/>
    <n v="2874"/>
    <n v="4351"/>
    <n v="189405706"/>
    <n v="284505202"/>
    <n v="7225"/>
    <n v="473910908"/>
  </r>
  <r>
    <x v="6"/>
    <x v="4"/>
    <n v="115"/>
    <n v="821"/>
    <n v="1543"/>
    <n v="47715235"/>
    <n v="95283797"/>
    <n v="2364"/>
    <n v="142999032"/>
  </r>
  <r>
    <x v="6"/>
    <x v="5"/>
    <n v="122"/>
    <n v="978"/>
    <n v="1346"/>
    <n v="62307365"/>
    <n v="90321553"/>
    <n v="2324"/>
    <n v="152628918"/>
  </r>
  <r>
    <x v="6"/>
    <x v="6"/>
    <n v="121"/>
    <n v="809"/>
    <n v="1627"/>
    <n v="43857688"/>
    <n v="98461070"/>
    <n v="2436"/>
    <n v="142318758"/>
  </r>
  <r>
    <x v="6"/>
    <x v="7"/>
    <n v="217"/>
    <n v="2023"/>
    <n v="2644"/>
    <n v="130244399"/>
    <n v="163437025"/>
    <n v="4667"/>
    <n v="293681424"/>
  </r>
  <r>
    <x v="6"/>
    <x v="8"/>
    <n v="105"/>
    <n v="918"/>
    <n v="1299"/>
    <n v="68592902"/>
    <n v="86365602"/>
    <n v="2217"/>
    <n v="154958504"/>
  </r>
  <r>
    <x v="6"/>
    <x v="9"/>
    <n v="181"/>
    <n v="1476"/>
    <n v="2460"/>
    <n v="89773257"/>
    <n v="168666903"/>
    <n v="3936"/>
    <n v="258440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7F34C-5AC6-48C8-909A-BD102EAE275C}" name="PivotTable5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City">
  <location ref="A1:G79" firstHeaderRow="0" firstDataRow="1" firstDataCol="1"/>
  <pivotFields count="10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1">
        <item x="0"/>
        <item x="1"/>
        <item x="2"/>
        <item x="4"/>
        <item x="5"/>
        <item x="6"/>
        <item x="7"/>
        <item x="8"/>
        <item x="9"/>
        <item x="3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dataField="1" dragToRow="0" dragToCol="0" dragToPage="0" showAll="0" defaultSubtotal="0"/>
  </pivotFields>
  <rowFields count="2">
    <field x="0"/>
    <field x="1"/>
  </rowFields>
  <rowItems count="7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No. of Clients" fld="2" baseField="0" baseItem="0" numFmtId="164"/>
    <dataField name="Quantity Sold 2024" fld="3" baseField="0" baseItem="0" numFmtId="164"/>
    <dataField name="Revenue Amount 2024" fld="5" baseField="0" baseItem="0" numFmtId="164"/>
    <dataField name="Quantity Sold 2025" fld="4" baseField="0" baseItem="0" numFmtId="164"/>
    <dataField name="Revenue Amount 2025" fld="6" baseField="0" baseItem="0" numFmtId="164"/>
    <dataField name="Growth %" fld="9" baseField="0" baseItem="0" numFmtId="165"/>
  </dataFields>
  <formats count="55">
    <format dxfId="83">
      <pivotArea field="0" type="button" dataOnly="0" labelOnly="1" outline="0" axis="axisRow" fieldPosition="0"/>
    </format>
    <format dxfId="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">
      <pivotArea field="0" type="button" dataOnly="0" labelOnly="1" outline="0" axis="axisRow" fieldPosition="0"/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grandRow="1" outline="0" collapsedLevelsAreSubtotals="1" fieldPosition="0"/>
    </format>
    <format dxfId="76">
      <pivotArea dataOnly="0" labelOnly="1" grandRow="1" outline="0" fieldPosition="0"/>
    </format>
    <format dxfId="75">
      <pivotArea collapsedLevelsAreSubtotals="1" fieldPosition="0">
        <references count="1">
          <reference field="0" count="1">
            <x v="0"/>
          </reference>
        </references>
      </pivotArea>
    </format>
    <format dxfId="74">
      <pivotArea collapsedLevelsAreSubtotals="1" fieldPosition="0">
        <references count="2">
          <reference field="0" count="1" selected="0">
            <x v="0"/>
          </reference>
          <reference field="1" count="0"/>
        </references>
      </pivotArea>
    </format>
    <format dxfId="73">
      <pivotArea collapsedLevelsAreSubtotals="1" fieldPosition="0">
        <references count="1">
          <reference field="0" count="1">
            <x v="1"/>
          </reference>
        </references>
      </pivotArea>
    </format>
    <format dxfId="72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71">
      <pivotArea collapsedLevelsAreSubtotals="1" fieldPosition="0">
        <references count="1">
          <reference field="0" count="1">
            <x v="2"/>
          </reference>
        </references>
      </pivotArea>
    </format>
    <format dxfId="70">
      <pivotArea collapsedLevelsAreSubtotals="1" fieldPosition="0">
        <references count="2">
          <reference field="0" count="1" selected="0">
            <x v="2"/>
          </reference>
          <reference field="1" count="0"/>
        </references>
      </pivotArea>
    </format>
    <format dxfId="69">
      <pivotArea collapsedLevelsAreSubtotals="1" fieldPosition="0">
        <references count="1">
          <reference field="0" count="1">
            <x v="3"/>
          </reference>
        </references>
      </pivotArea>
    </format>
    <format dxfId="68">
      <pivotArea collapsedLevelsAreSubtotals="1" fieldPosition="0">
        <references count="2">
          <reference field="0" count="1" selected="0">
            <x v="3"/>
          </reference>
          <reference field="1" count="0"/>
        </references>
      </pivotArea>
    </format>
    <format dxfId="67">
      <pivotArea collapsedLevelsAreSubtotals="1" fieldPosition="0">
        <references count="1">
          <reference field="0" count="1">
            <x v="4"/>
          </reference>
        </references>
      </pivotArea>
    </format>
    <format dxfId="66">
      <pivotArea collapsedLevelsAreSubtotals="1" fieldPosition="0">
        <references count="2">
          <reference field="0" count="1" selected="0">
            <x v="4"/>
          </reference>
          <reference field="1" count="0"/>
        </references>
      </pivotArea>
    </format>
    <format dxfId="65">
      <pivotArea collapsedLevelsAreSubtotals="1" fieldPosition="0">
        <references count="1">
          <reference field="0" count="1">
            <x v="5"/>
          </reference>
        </references>
      </pivotArea>
    </format>
    <format dxfId="64">
      <pivotArea collapsedLevelsAreSubtotals="1" fieldPosition="0">
        <references count="2">
          <reference field="0" count="1" selected="0">
            <x v="5"/>
          </reference>
          <reference field="1" count="0"/>
        </references>
      </pivotArea>
    </format>
    <format dxfId="63">
      <pivotArea collapsedLevelsAreSubtotals="1" fieldPosition="0">
        <references count="1">
          <reference field="0" count="1">
            <x v="6"/>
          </reference>
        </references>
      </pivotArea>
    </format>
    <format dxfId="62">
      <pivotArea collapsedLevelsAreSubtotals="1" fieldPosition="0">
        <references count="2">
          <reference field="0" count="1" selected="0">
            <x v="6"/>
          </reference>
          <reference field="1" count="0"/>
        </references>
      </pivotArea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59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58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57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56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55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54">
      <pivotArea dataOnly="0" labelOnly="1" fieldPosition="0">
        <references count="2">
          <reference field="0" count="1" selected="0">
            <x v="6"/>
          </reference>
          <reference field="1" count="0"/>
        </references>
      </pivotArea>
    </format>
    <format dxfId="53">
      <pivotArea collapsedLevelsAreSubtotals="1" fieldPosition="0">
        <references count="1">
          <reference field="0" count="1">
            <x v="0"/>
          </reference>
        </references>
      </pivotArea>
    </format>
    <format dxfId="52">
      <pivotArea collapsedLevelsAreSubtotals="1" fieldPosition="0">
        <references count="2">
          <reference field="0" count="1" selected="0">
            <x v="0"/>
          </reference>
          <reference field="1" count="0"/>
        </references>
      </pivotArea>
    </format>
    <format dxfId="51">
      <pivotArea collapsedLevelsAreSubtotals="1" fieldPosition="0">
        <references count="1">
          <reference field="0" count="1">
            <x v="1"/>
          </reference>
        </references>
      </pivotArea>
    </format>
    <format dxfId="50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49">
      <pivotArea collapsedLevelsAreSubtotals="1" fieldPosition="0">
        <references count="1">
          <reference field="0" count="1">
            <x v="2"/>
          </reference>
        </references>
      </pivotArea>
    </format>
    <format dxfId="48">
      <pivotArea collapsedLevelsAreSubtotals="1" fieldPosition="0">
        <references count="2">
          <reference field="0" count="1" selected="0">
            <x v="2"/>
          </reference>
          <reference field="1" count="0"/>
        </references>
      </pivotArea>
    </format>
    <format dxfId="47">
      <pivotArea collapsedLevelsAreSubtotals="1" fieldPosition="0">
        <references count="1">
          <reference field="0" count="1">
            <x v="3"/>
          </reference>
        </references>
      </pivotArea>
    </format>
    <format dxfId="46">
      <pivotArea collapsedLevelsAreSubtotals="1" fieldPosition="0">
        <references count="2">
          <reference field="0" count="1" selected="0">
            <x v="3"/>
          </reference>
          <reference field="1" count="0"/>
        </references>
      </pivotArea>
    </format>
    <format dxfId="45">
      <pivotArea collapsedLevelsAreSubtotals="1" fieldPosition="0">
        <references count="1">
          <reference field="0" count="1">
            <x v="4"/>
          </reference>
        </references>
      </pivotArea>
    </format>
    <format dxfId="44">
      <pivotArea collapsedLevelsAreSubtotals="1" fieldPosition="0">
        <references count="2">
          <reference field="0" count="1" selected="0">
            <x v="4"/>
          </reference>
          <reference field="1" count="0"/>
        </references>
      </pivotArea>
    </format>
    <format dxfId="43">
      <pivotArea collapsedLevelsAreSubtotals="1" fieldPosition="0">
        <references count="1">
          <reference field="0" count="1">
            <x v="5"/>
          </reference>
        </references>
      </pivotArea>
    </format>
    <format dxfId="42">
      <pivotArea collapsedLevelsAreSubtotals="1" fieldPosition="0">
        <references count="2">
          <reference field="0" count="1" selected="0">
            <x v="5"/>
          </reference>
          <reference field="1" count="0"/>
        </references>
      </pivotArea>
    </format>
    <format dxfId="41">
      <pivotArea collapsedLevelsAreSubtotals="1" fieldPosition="0">
        <references count="1">
          <reference field="0" count="1">
            <x v="6"/>
          </reference>
        </references>
      </pivotArea>
    </format>
    <format dxfId="40">
      <pivotArea collapsedLevelsAreSubtotals="1" fieldPosition="0">
        <references count="2">
          <reference field="0" count="1" selected="0">
            <x v="6"/>
          </reference>
          <reference field="1" count="0"/>
        </references>
      </pivotArea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7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36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35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4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33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32">
      <pivotArea dataOnly="0" labelOnly="1" fieldPosition="0">
        <references count="2">
          <reference field="0" count="1" selected="0">
            <x v="6"/>
          </reference>
          <reference field="1" count="0"/>
        </references>
      </pivotArea>
    </format>
    <format dxfId="31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conditionalFormats count="3">
    <conditionalFormat priority="1">
      <pivotAreas count="14"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1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2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3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4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6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4"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1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2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3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4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6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4"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1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2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3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4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5"/>
            </reference>
            <reference field="0" count="1" selected="0">
              <x v="6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38A42-B833-45A6-8EAC-73165B7FDBE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 Name">
  <location ref="A1:I12" firstHeaderRow="0" firstDataRow="1" firstDataCol="1"/>
  <pivotFields count="10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1">
        <item x="0"/>
        <item x="1"/>
        <item x="2"/>
        <item x="4"/>
        <item x="5"/>
        <item x="6"/>
        <item x="7"/>
        <item x="8"/>
        <item x="9"/>
        <item x="3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dragToRow="0" dragToCol="0" dragToPage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No. of Clients" fld="2" baseField="0" baseItem="0" numFmtId="164"/>
    <dataField name="Quantity Sold 2024" fld="3" baseField="0" baseItem="0" numFmtId="164"/>
    <dataField name="Revenue Amount 2024" fld="5" baseField="0" baseItem="0" numFmtId="5"/>
    <dataField name="Quantity Sold 2025" fld="4" baseField="0" baseItem="0" numFmtId="164"/>
    <dataField name="Revenue Amount 2025" fld="6" baseField="0" baseItem="0" numFmtId="5"/>
    <dataField name="Growth %" fld="9" baseField="0" baseItem="0" numFmtId="165"/>
    <dataField name="Total Quantity Sold" fld="7" baseField="0" baseItem="0" numFmtId="164"/>
    <dataField name="Total Revenue Amount" fld="8" baseField="0" baseItem="0" numFmtId="5"/>
  </dataFields>
  <formats count="26">
    <format dxfId="2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4">
      <pivotArea field="0" type="button" dataOnly="0" labelOnly="1" outline="0"/>
    </format>
    <format dxfId="23">
      <pivotArea dataOnly="0" labelOnly="1" outline="0" fieldPosition="0">
        <references count="1">
          <reference field="4294967294" count="2">
            <x v="0"/>
            <x v="5"/>
          </reference>
        </references>
      </pivotArea>
    </format>
    <format dxfId="22">
      <pivotArea field="0" type="button" dataOnly="0" labelOnly="1" outline="0"/>
    </format>
    <format dxfId="21">
      <pivotArea dataOnly="0" labelOnly="1" outline="0" fieldPosition="0">
        <references count="1">
          <reference field="4294967294" count="2">
            <x v="0"/>
            <x v="5"/>
          </reference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field="1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5"/>
          </reference>
        </references>
      </pivotArea>
    </format>
    <format dxfId="14">
      <pivotArea field="1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5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dataOnly="0" labelOnly="1" fieldPosition="0">
        <references count="1">
          <reference field="1" count="0"/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7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3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2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CDCD-7966-4524-9CA5-FA3DAF74ECED}">
  <dimension ref="A1:G79"/>
  <sheetViews>
    <sheetView showGridLines="0" tabSelected="1" workbookViewId="0">
      <selection activeCell="I1" sqref="I1"/>
    </sheetView>
  </sheetViews>
  <sheetFormatPr defaultRowHeight="14.4" x14ac:dyDescent="0.3"/>
  <cols>
    <col min="1" max="1" width="14.88671875" bestFit="1" customWidth="1"/>
    <col min="2" max="2" width="12.21875" bestFit="1" customWidth="1"/>
    <col min="3" max="3" width="17" bestFit="1" customWidth="1"/>
    <col min="4" max="4" width="20.33203125" bestFit="1" customWidth="1"/>
    <col min="5" max="5" width="17" bestFit="1" customWidth="1"/>
    <col min="6" max="6" width="20.33203125" bestFit="1" customWidth="1"/>
    <col min="7" max="7" width="9.109375" bestFit="1" customWidth="1"/>
  </cols>
  <sheetData>
    <row r="1" spans="1:7" x14ac:dyDescent="0.3">
      <c r="A1" s="6" t="s">
        <v>8</v>
      </c>
      <c r="B1" s="6" t="s">
        <v>21</v>
      </c>
      <c r="C1" s="6" t="s">
        <v>28</v>
      </c>
      <c r="D1" s="6" t="s">
        <v>35</v>
      </c>
      <c r="E1" s="6" t="s">
        <v>31</v>
      </c>
      <c r="F1" s="6" t="s">
        <v>29</v>
      </c>
      <c r="G1" s="6" t="s">
        <v>30</v>
      </c>
    </row>
    <row r="2" spans="1:7" x14ac:dyDescent="0.3">
      <c r="A2" s="11" t="s">
        <v>5</v>
      </c>
      <c r="B2" s="12">
        <v>1758</v>
      </c>
      <c r="C2" s="12">
        <v>14477</v>
      </c>
      <c r="D2" s="12">
        <v>875640501</v>
      </c>
      <c r="E2" s="12">
        <v>21215</v>
      </c>
      <c r="F2" s="12">
        <v>1358720782</v>
      </c>
      <c r="G2" s="14">
        <v>55.168791353108048</v>
      </c>
    </row>
    <row r="3" spans="1:7" x14ac:dyDescent="0.3">
      <c r="A3" s="15" t="s">
        <v>9</v>
      </c>
      <c r="B3" s="12">
        <v>130</v>
      </c>
      <c r="C3" s="12">
        <v>1176</v>
      </c>
      <c r="D3" s="12">
        <v>80103137</v>
      </c>
      <c r="E3" s="12">
        <v>1502</v>
      </c>
      <c r="F3" s="12">
        <v>101436580</v>
      </c>
      <c r="G3" s="14">
        <v>26.63246883826784</v>
      </c>
    </row>
    <row r="4" spans="1:7" x14ac:dyDescent="0.3">
      <c r="A4" s="15" t="s">
        <v>10</v>
      </c>
      <c r="B4" s="12">
        <v>119</v>
      </c>
      <c r="C4" s="12">
        <v>901</v>
      </c>
      <c r="D4" s="12">
        <v>60772969</v>
      </c>
      <c r="E4" s="12">
        <v>1399</v>
      </c>
      <c r="F4" s="12">
        <v>87738953</v>
      </c>
      <c r="G4" s="14">
        <v>44.371674518649897</v>
      </c>
    </row>
    <row r="5" spans="1:7" x14ac:dyDescent="0.3">
      <c r="A5" s="15" t="s">
        <v>11</v>
      </c>
      <c r="B5" s="12">
        <v>216</v>
      </c>
      <c r="C5" s="12">
        <v>1845</v>
      </c>
      <c r="D5" s="12">
        <v>94005304</v>
      </c>
      <c r="E5" s="12">
        <v>2869</v>
      </c>
      <c r="F5" s="12">
        <v>180171695</v>
      </c>
      <c r="G5" s="14">
        <v>91.661201372211934</v>
      </c>
    </row>
    <row r="6" spans="1:7" x14ac:dyDescent="0.3">
      <c r="A6" s="15" t="s">
        <v>13</v>
      </c>
      <c r="B6" s="12">
        <v>118</v>
      </c>
      <c r="C6" s="12">
        <v>788</v>
      </c>
      <c r="D6" s="12">
        <v>51034907</v>
      </c>
      <c r="E6" s="12">
        <v>1627</v>
      </c>
      <c r="F6" s="12">
        <v>103923630</v>
      </c>
      <c r="G6" s="14">
        <v>103.63244710135359</v>
      </c>
    </row>
    <row r="7" spans="1:7" x14ac:dyDescent="0.3">
      <c r="A7" s="15" t="s">
        <v>14</v>
      </c>
      <c r="B7" s="12">
        <v>117</v>
      </c>
      <c r="C7" s="12">
        <v>907</v>
      </c>
      <c r="D7" s="12">
        <v>51666590</v>
      </c>
      <c r="E7" s="12">
        <v>1482</v>
      </c>
      <c r="F7" s="12">
        <v>82325862</v>
      </c>
      <c r="G7" s="14">
        <v>59.340614505427979</v>
      </c>
    </row>
    <row r="8" spans="1:7" x14ac:dyDescent="0.3">
      <c r="A8" s="15" t="s">
        <v>15</v>
      </c>
      <c r="B8" s="12">
        <v>131</v>
      </c>
      <c r="C8" s="12">
        <v>1080</v>
      </c>
      <c r="D8" s="12">
        <v>70010892</v>
      </c>
      <c r="E8" s="12">
        <v>1357</v>
      </c>
      <c r="F8" s="12">
        <v>83666841</v>
      </c>
      <c r="G8" s="14">
        <v>19.505463521304655</v>
      </c>
    </row>
    <row r="9" spans="1:7" x14ac:dyDescent="0.3">
      <c r="A9" s="15" t="s">
        <v>16</v>
      </c>
      <c r="B9" s="12">
        <v>219</v>
      </c>
      <c r="C9" s="12">
        <v>2007</v>
      </c>
      <c r="D9" s="12">
        <v>129067869</v>
      </c>
      <c r="E9" s="12">
        <v>2502</v>
      </c>
      <c r="F9" s="12">
        <v>170822486</v>
      </c>
      <c r="G9" s="14">
        <v>32.350899820000897</v>
      </c>
    </row>
    <row r="10" spans="1:7" x14ac:dyDescent="0.3">
      <c r="A10" s="15" t="s">
        <v>17</v>
      </c>
      <c r="B10" s="12">
        <v>117</v>
      </c>
      <c r="C10" s="12">
        <v>1208</v>
      </c>
      <c r="D10" s="12">
        <v>66111395</v>
      </c>
      <c r="E10" s="12">
        <v>1331</v>
      </c>
      <c r="F10" s="12">
        <v>72081310</v>
      </c>
      <c r="G10" s="14">
        <v>9.0300847531654718</v>
      </c>
    </row>
    <row r="11" spans="1:7" x14ac:dyDescent="0.3">
      <c r="A11" s="15" t="s">
        <v>18</v>
      </c>
      <c r="B11" s="12">
        <v>243</v>
      </c>
      <c r="C11" s="12">
        <v>1946</v>
      </c>
      <c r="D11" s="12">
        <v>123134477</v>
      </c>
      <c r="E11" s="12">
        <v>2763</v>
      </c>
      <c r="F11" s="12">
        <v>178673236</v>
      </c>
      <c r="G11" s="14">
        <v>45.104149831245074</v>
      </c>
    </row>
    <row r="12" spans="1:7" x14ac:dyDescent="0.3">
      <c r="A12" s="15" t="s">
        <v>12</v>
      </c>
      <c r="B12" s="12">
        <v>348</v>
      </c>
      <c r="C12" s="12">
        <v>2619</v>
      </c>
      <c r="D12" s="12">
        <v>149732961</v>
      </c>
      <c r="E12" s="12">
        <v>4383</v>
      </c>
      <c r="F12" s="12">
        <v>297880189</v>
      </c>
      <c r="G12" s="14">
        <v>98.940959298868066</v>
      </c>
    </row>
    <row r="13" spans="1:7" x14ac:dyDescent="0.3">
      <c r="A13" s="11" t="s">
        <v>6</v>
      </c>
      <c r="B13" s="12">
        <v>1749</v>
      </c>
      <c r="C13" s="12">
        <v>15054</v>
      </c>
      <c r="D13" s="12">
        <v>938492212</v>
      </c>
      <c r="E13" s="12">
        <v>20624</v>
      </c>
      <c r="F13" s="12">
        <v>1271550974</v>
      </c>
      <c r="G13" s="14">
        <v>35.488708136450683</v>
      </c>
    </row>
    <row r="14" spans="1:7" x14ac:dyDescent="0.3">
      <c r="A14" s="15" t="s">
        <v>9</v>
      </c>
      <c r="B14" s="12">
        <v>113</v>
      </c>
      <c r="C14" s="12">
        <v>1006</v>
      </c>
      <c r="D14" s="12">
        <v>66393341</v>
      </c>
      <c r="E14" s="12">
        <v>1173</v>
      </c>
      <c r="F14" s="12">
        <v>83695932</v>
      </c>
      <c r="G14" s="14">
        <v>26.060732506291558</v>
      </c>
    </row>
    <row r="15" spans="1:7" x14ac:dyDescent="0.3">
      <c r="A15" s="15" t="s">
        <v>10</v>
      </c>
      <c r="B15" s="12">
        <v>125</v>
      </c>
      <c r="C15" s="12">
        <v>807</v>
      </c>
      <c r="D15" s="12">
        <v>53273702</v>
      </c>
      <c r="E15" s="12">
        <v>1519</v>
      </c>
      <c r="F15" s="12">
        <v>90897037</v>
      </c>
      <c r="G15" s="14">
        <v>70.622715500417073</v>
      </c>
    </row>
    <row r="16" spans="1:7" x14ac:dyDescent="0.3">
      <c r="A16" s="15" t="s">
        <v>11</v>
      </c>
      <c r="B16" s="12">
        <v>227</v>
      </c>
      <c r="C16" s="12">
        <v>2198</v>
      </c>
      <c r="D16" s="12">
        <v>130341099</v>
      </c>
      <c r="E16" s="12">
        <v>2577</v>
      </c>
      <c r="F16" s="12">
        <v>153853265</v>
      </c>
      <c r="G16" s="14">
        <v>18.038950246997686</v>
      </c>
    </row>
    <row r="17" spans="1:7" x14ac:dyDescent="0.3">
      <c r="A17" s="15" t="s">
        <v>13</v>
      </c>
      <c r="B17" s="12">
        <v>129</v>
      </c>
      <c r="C17" s="12">
        <v>1226</v>
      </c>
      <c r="D17" s="12">
        <v>74977229</v>
      </c>
      <c r="E17" s="12">
        <v>1507</v>
      </c>
      <c r="F17" s="12">
        <v>84012117</v>
      </c>
      <c r="G17" s="14">
        <v>12.050175927413909</v>
      </c>
    </row>
    <row r="18" spans="1:7" x14ac:dyDescent="0.3">
      <c r="A18" s="15" t="s">
        <v>14</v>
      </c>
      <c r="B18" s="12">
        <v>123</v>
      </c>
      <c r="C18" s="12">
        <v>1104</v>
      </c>
      <c r="D18" s="12">
        <v>45531382</v>
      </c>
      <c r="E18" s="12">
        <v>1504</v>
      </c>
      <c r="F18" s="12">
        <v>97535039</v>
      </c>
      <c r="G18" s="14">
        <v>114.21497594779795</v>
      </c>
    </row>
    <row r="19" spans="1:7" x14ac:dyDescent="0.3">
      <c r="A19" s="15" t="s">
        <v>15</v>
      </c>
      <c r="B19" s="12">
        <v>135</v>
      </c>
      <c r="C19" s="12">
        <v>1295</v>
      </c>
      <c r="D19" s="12">
        <v>91727216</v>
      </c>
      <c r="E19" s="12">
        <v>1439</v>
      </c>
      <c r="F19" s="12">
        <v>89944296</v>
      </c>
      <c r="G19" s="14">
        <v>-1.9437197352637412</v>
      </c>
    </row>
    <row r="20" spans="1:7" x14ac:dyDescent="0.3">
      <c r="A20" s="15" t="s">
        <v>16</v>
      </c>
      <c r="B20" s="12">
        <v>213</v>
      </c>
      <c r="C20" s="12">
        <v>1616</v>
      </c>
      <c r="D20" s="12">
        <v>101379758</v>
      </c>
      <c r="E20" s="12">
        <v>2656</v>
      </c>
      <c r="F20" s="12">
        <v>161603199</v>
      </c>
      <c r="G20" s="14">
        <v>59.403812149561453</v>
      </c>
    </row>
    <row r="21" spans="1:7" x14ac:dyDescent="0.3">
      <c r="A21" s="15" t="s">
        <v>17</v>
      </c>
      <c r="B21" s="12">
        <v>144</v>
      </c>
      <c r="C21" s="12">
        <v>1316</v>
      </c>
      <c r="D21" s="12">
        <v>77571966</v>
      </c>
      <c r="E21" s="12">
        <v>1863</v>
      </c>
      <c r="F21" s="12">
        <v>113642048</v>
      </c>
      <c r="G21" s="14">
        <v>46.498862746368964</v>
      </c>
    </row>
    <row r="22" spans="1:7" x14ac:dyDescent="0.3">
      <c r="A22" s="15" t="s">
        <v>18</v>
      </c>
      <c r="B22" s="12">
        <v>211</v>
      </c>
      <c r="C22" s="12">
        <v>1721</v>
      </c>
      <c r="D22" s="12">
        <v>112706131</v>
      </c>
      <c r="E22" s="12">
        <v>2577</v>
      </c>
      <c r="F22" s="12">
        <v>149443296</v>
      </c>
      <c r="G22" s="14">
        <v>32.595533778016033</v>
      </c>
    </row>
    <row r="23" spans="1:7" x14ac:dyDescent="0.3">
      <c r="A23" s="15" t="s">
        <v>12</v>
      </c>
      <c r="B23" s="12">
        <v>329</v>
      </c>
      <c r="C23" s="12">
        <v>2765</v>
      </c>
      <c r="D23" s="12">
        <v>184590388</v>
      </c>
      <c r="E23" s="12">
        <v>3809</v>
      </c>
      <c r="F23" s="12">
        <v>246924745</v>
      </c>
      <c r="G23" s="14">
        <v>33.769015643436425</v>
      </c>
    </row>
    <row r="24" spans="1:7" x14ac:dyDescent="0.3">
      <c r="A24" s="11" t="s">
        <v>1</v>
      </c>
      <c r="B24" s="12">
        <v>1683</v>
      </c>
      <c r="C24" s="12">
        <v>13760</v>
      </c>
      <c r="D24" s="12">
        <v>856966098</v>
      </c>
      <c r="E24" s="12">
        <v>21146</v>
      </c>
      <c r="F24" s="12">
        <v>1321585081</v>
      </c>
      <c r="G24" s="14">
        <v>54.216728536208677</v>
      </c>
    </row>
    <row r="25" spans="1:7" x14ac:dyDescent="0.3">
      <c r="A25" s="15" t="s">
        <v>9</v>
      </c>
      <c r="B25" s="12">
        <v>103</v>
      </c>
      <c r="C25" s="12">
        <v>763</v>
      </c>
      <c r="D25" s="12">
        <v>47377501</v>
      </c>
      <c r="E25" s="12">
        <v>1459</v>
      </c>
      <c r="F25" s="12">
        <v>98130350</v>
      </c>
      <c r="G25" s="14">
        <v>107.12436901220266</v>
      </c>
    </row>
    <row r="26" spans="1:7" x14ac:dyDescent="0.3">
      <c r="A26" s="15" t="s">
        <v>10</v>
      </c>
      <c r="B26" s="12">
        <v>128</v>
      </c>
      <c r="C26" s="12">
        <v>909</v>
      </c>
      <c r="D26" s="12">
        <v>56785614</v>
      </c>
      <c r="E26" s="12">
        <v>1877</v>
      </c>
      <c r="F26" s="12">
        <v>108982589</v>
      </c>
      <c r="G26" s="14">
        <v>91.919363590926395</v>
      </c>
    </row>
    <row r="27" spans="1:7" x14ac:dyDescent="0.3">
      <c r="A27" s="15" t="s">
        <v>11</v>
      </c>
      <c r="B27" s="12">
        <v>197</v>
      </c>
      <c r="C27" s="12">
        <v>1971</v>
      </c>
      <c r="D27" s="12">
        <v>139020070</v>
      </c>
      <c r="E27" s="12">
        <v>2226</v>
      </c>
      <c r="F27" s="12">
        <v>147908661</v>
      </c>
      <c r="G27" s="14">
        <v>6.3937466007605952</v>
      </c>
    </row>
    <row r="28" spans="1:7" x14ac:dyDescent="0.3">
      <c r="A28" s="15" t="s">
        <v>13</v>
      </c>
      <c r="B28" s="12">
        <v>127</v>
      </c>
      <c r="C28" s="12">
        <v>877</v>
      </c>
      <c r="D28" s="12">
        <v>44872504</v>
      </c>
      <c r="E28" s="12">
        <v>1603</v>
      </c>
      <c r="F28" s="12">
        <v>95771911</v>
      </c>
      <c r="G28" s="14">
        <v>113.43117157001087</v>
      </c>
    </row>
    <row r="29" spans="1:7" x14ac:dyDescent="0.3">
      <c r="A29" s="15" t="s">
        <v>14</v>
      </c>
      <c r="B29" s="12">
        <v>129</v>
      </c>
      <c r="C29" s="12">
        <v>841</v>
      </c>
      <c r="D29" s="12">
        <v>43791383</v>
      </c>
      <c r="E29" s="12">
        <v>1961</v>
      </c>
      <c r="F29" s="12">
        <v>134102093</v>
      </c>
      <c r="G29" s="14">
        <v>206.22940819201804</v>
      </c>
    </row>
    <row r="30" spans="1:7" x14ac:dyDescent="0.3">
      <c r="A30" s="15" t="s">
        <v>15</v>
      </c>
      <c r="B30" s="12">
        <v>106</v>
      </c>
      <c r="C30" s="12">
        <v>812</v>
      </c>
      <c r="D30" s="12">
        <v>46619389</v>
      </c>
      <c r="E30" s="12">
        <v>1370</v>
      </c>
      <c r="F30" s="12">
        <v>88049793</v>
      </c>
      <c r="G30" s="14">
        <v>88.869470168302726</v>
      </c>
    </row>
    <row r="31" spans="1:7" x14ac:dyDescent="0.3">
      <c r="A31" s="15" t="s">
        <v>16</v>
      </c>
      <c r="B31" s="12">
        <v>188</v>
      </c>
      <c r="C31" s="12">
        <v>1558</v>
      </c>
      <c r="D31" s="12">
        <v>108248899</v>
      </c>
      <c r="E31" s="12">
        <v>2296</v>
      </c>
      <c r="F31" s="12">
        <v>148603503</v>
      </c>
      <c r="G31" s="14">
        <v>37.279459073297367</v>
      </c>
    </row>
    <row r="32" spans="1:7" x14ac:dyDescent="0.3">
      <c r="A32" s="15" t="s">
        <v>17</v>
      </c>
      <c r="B32" s="12">
        <v>115</v>
      </c>
      <c r="C32" s="12">
        <v>844</v>
      </c>
      <c r="D32" s="12">
        <v>64088933</v>
      </c>
      <c r="E32" s="12">
        <v>1400</v>
      </c>
      <c r="F32" s="12">
        <v>81029840</v>
      </c>
      <c r="G32" s="14">
        <v>26.433435863255827</v>
      </c>
    </row>
    <row r="33" spans="1:7" x14ac:dyDescent="0.3">
      <c r="A33" s="15" t="s">
        <v>18</v>
      </c>
      <c r="B33" s="12">
        <v>234</v>
      </c>
      <c r="C33" s="12">
        <v>2021</v>
      </c>
      <c r="D33" s="12">
        <v>109317575</v>
      </c>
      <c r="E33" s="12">
        <v>2676</v>
      </c>
      <c r="F33" s="12">
        <v>159981021</v>
      </c>
      <c r="G33" s="14">
        <v>46.345197467104441</v>
      </c>
    </row>
    <row r="34" spans="1:7" x14ac:dyDescent="0.3">
      <c r="A34" s="15" t="s">
        <v>12</v>
      </c>
      <c r="B34" s="12">
        <v>356</v>
      </c>
      <c r="C34" s="12">
        <v>3164</v>
      </c>
      <c r="D34" s="12">
        <v>196844230</v>
      </c>
      <c r="E34" s="12">
        <v>4278</v>
      </c>
      <c r="F34" s="12">
        <v>259025320</v>
      </c>
      <c r="G34" s="14">
        <v>31.58898282159452</v>
      </c>
    </row>
    <row r="35" spans="1:7" x14ac:dyDescent="0.3">
      <c r="A35" s="11" t="s">
        <v>7</v>
      </c>
      <c r="B35" s="12">
        <v>1747</v>
      </c>
      <c r="C35" s="12">
        <v>14666</v>
      </c>
      <c r="D35" s="12">
        <v>950630452</v>
      </c>
      <c r="E35" s="12">
        <v>20780</v>
      </c>
      <c r="F35" s="12">
        <v>1308320348</v>
      </c>
      <c r="G35" s="14">
        <v>37.626597722329223</v>
      </c>
    </row>
    <row r="36" spans="1:7" x14ac:dyDescent="0.3">
      <c r="A36" s="15" t="s">
        <v>9</v>
      </c>
      <c r="B36" s="12">
        <v>132</v>
      </c>
      <c r="C36" s="12">
        <v>1026</v>
      </c>
      <c r="D36" s="12">
        <v>67749238</v>
      </c>
      <c r="E36" s="12">
        <v>1645</v>
      </c>
      <c r="F36" s="12">
        <v>112084693</v>
      </c>
      <c r="G36" s="14">
        <v>65.440522002623851</v>
      </c>
    </row>
    <row r="37" spans="1:7" x14ac:dyDescent="0.3">
      <c r="A37" s="15" t="s">
        <v>10</v>
      </c>
      <c r="B37" s="12">
        <v>106</v>
      </c>
      <c r="C37" s="12">
        <v>873</v>
      </c>
      <c r="D37" s="12">
        <v>59870309</v>
      </c>
      <c r="E37" s="12">
        <v>1237</v>
      </c>
      <c r="F37" s="12">
        <v>65821863</v>
      </c>
      <c r="G37" s="14">
        <v>9.9407437499612694</v>
      </c>
    </row>
    <row r="38" spans="1:7" x14ac:dyDescent="0.3">
      <c r="A38" s="15" t="s">
        <v>11</v>
      </c>
      <c r="B38" s="12">
        <v>223</v>
      </c>
      <c r="C38" s="12">
        <v>1920</v>
      </c>
      <c r="D38" s="12">
        <v>117233040</v>
      </c>
      <c r="E38" s="12">
        <v>2545</v>
      </c>
      <c r="F38" s="12">
        <v>158520499</v>
      </c>
      <c r="G38" s="14">
        <v>35.218278908403292</v>
      </c>
    </row>
    <row r="39" spans="1:7" x14ac:dyDescent="0.3">
      <c r="A39" s="15" t="s">
        <v>13</v>
      </c>
      <c r="B39" s="12">
        <v>128</v>
      </c>
      <c r="C39" s="12">
        <v>1071</v>
      </c>
      <c r="D39" s="12">
        <v>58433274</v>
      </c>
      <c r="E39" s="12">
        <v>1541</v>
      </c>
      <c r="F39" s="12">
        <v>104102481</v>
      </c>
      <c r="G39" s="14">
        <v>78.156166638891406</v>
      </c>
    </row>
    <row r="40" spans="1:7" x14ac:dyDescent="0.3">
      <c r="A40" s="15" t="s">
        <v>14</v>
      </c>
      <c r="B40" s="12">
        <v>127</v>
      </c>
      <c r="C40" s="12">
        <v>958</v>
      </c>
      <c r="D40" s="12">
        <v>65020857</v>
      </c>
      <c r="E40" s="12">
        <v>1567</v>
      </c>
      <c r="F40" s="12">
        <v>96020605</v>
      </c>
      <c r="G40" s="14">
        <v>47.676621672335081</v>
      </c>
    </row>
    <row r="41" spans="1:7" x14ac:dyDescent="0.3">
      <c r="A41" s="15" t="s">
        <v>15</v>
      </c>
      <c r="B41" s="12">
        <v>125</v>
      </c>
      <c r="C41" s="12">
        <v>1170</v>
      </c>
      <c r="D41" s="12">
        <v>76735481</v>
      </c>
      <c r="E41" s="12">
        <v>1586</v>
      </c>
      <c r="F41" s="12">
        <v>109566642</v>
      </c>
      <c r="G41" s="14">
        <v>42.784850726354342</v>
      </c>
    </row>
    <row r="42" spans="1:7" x14ac:dyDescent="0.3">
      <c r="A42" s="15" t="s">
        <v>16</v>
      </c>
      <c r="B42" s="12">
        <v>221</v>
      </c>
      <c r="C42" s="12">
        <v>2001</v>
      </c>
      <c r="D42" s="12">
        <v>146021446</v>
      </c>
      <c r="E42" s="12">
        <v>2547</v>
      </c>
      <c r="F42" s="12">
        <v>145935928</v>
      </c>
      <c r="G42" s="14">
        <v>-5.8565369911485463E-2</v>
      </c>
    </row>
    <row r="43" spans="1:7" x14ac:dyDescent="0.3">
      <c r="A43" s="15" t="s">
        <v>17</v>
      </c>
      <c r="B43" s="12">
        <v>122</v>
      </c>
      <c r="C43" s="12">
        <v>1048</v>
      </c>
      <c r="D43" s="12">
        <v>65537990</v>
      </c>
      <c r="E43" s="12">
        <v>1434</v>
      </c>
      <c r="F43" s="12">
        <v>86962355</v>
      </c>
      <c r="G43" s="14">
        <v>32.689994001952151</v>
      </c>
    </row>
    <row r="44" spans="1:7" x14ac:dyDescent="0.3">
      <c r="A44" s="15" t="s">
        <v>18</v>
      </c>
      <c r="B44" s="12">
        <v>231</v>
      </c>
      <c r="C44" s="12">
        <v>1926</v>
      </c>
      <c r="D44" s="12">
        <v>125928809</v>
      </c>
      <c r="E44" s="12">
        <v>2593</v>
      </c>
      <c r="F44" s="12">
        <v>160385459</v>
      </c>
      <c r="G44" s="14">
        <v>27.362007370370666</v>
      </c>
    </row>
    <row r="45" spans="1:7" x14ac:dyDescent="0.3">
      <c r="A45" s="15" t="s">
        <v>12</v>
      </c>
      <c r="B45" s="12">
        <v>332</v>
      </c>
      <c r="C45" s="12">
        <v>2673</v>
      </c>
      <c r="D45" s="12">
        <v>168100008</v>
      </c>
      <c r="E45" s="12">
        <v>4085</v>
      </c>
      <c r="F45" s="12">
        <v>268919823</v>
      </c>
      <c r="G45" s="14">
        <v>59.976091732250246</v>
      </c>
    </row>
    <row r="46" spans="1:7" x14ac:dyDescent="0.3">
      <c r="A46" s="11" t="s">
        <v>2</v>
      </c>
      <c r="B46" s="12">
        <v>1747</v>
      </c>
      <c r="C46" s="12">
        <v>14316</v>
      </c>
      <c r="D46" s="12">
        <v>886553396</v>
      </c>
      <c r="E46" s="12">
        <v>21029</v>
      </c>
      <c r="F46" s="12">
        <v>1284663752</v>
      </c>
      <c r="G46" s="14">
        <v>44.905400824836498</v>
      </c>
    </row>
    <row r="47" spans="1:7" x14ac:dyDescent="0.3">
      <c r="A47" s="15" t="s">
        <v>9</v>
      </c>
      <c r="B47" s="12">
        <v>108</v>
      </c>
      <c r="C47" s="12">
        <v>1016</v>
      </c>
      <c r="D47" s="12">
        <v>62548837</v>
      </c>
      <c r="E47" s="12">
        <v>1201</v>
      </c>
      <c r="F47" s="12">
        <v>77230268</v>
      </c>
      <c r="G47" s="14">
        <v>23.471948806977817</v>
      </c>
    </row>
    <row r="48" spans="1:7" x14ac:dyDescent="0.3">
      <c r="A48" s="15" t="s">
        <v>10</v>
      </c>
      <c r="B48" s="12">
        <v>137</v>
      </c>
      <c r="C48" s="12">
        <v>1110</v>
      </c>
      <c r="D48" s="12">
        <v>70292791</v>
      </c>
      <c r="E48" s="12">
        <v>1610</v>
      </c>
      <c r="F48" s="12">
        <v>89491835</v>
      </c>
      <c r="G48" s="14">
        <v>27.312963003560352</v>
      </c>
    </row>
    <row r="49" spans="1:7" x14ac:dyDescent="0.3">
      <c r="A49" s="15" t="s">
        <v>11</v>
      </c>
      <c r="B49" s="12">
        <v>213</v>
      </c>
      <c r="C49" s="12">
        <v>1663</v>
      </c>
      <c r="D49" s="12">
        <v>104348183</v>
      </c>
      <c r="E49" s="12">
        <v>2586</v>
      </c>
      <c r="F49" s="12">
        <v>150583997</v>
      </c>
      <c r="G49" s="14">
        <v>44.309170194175785</v>
      </c>
    </row>
    <row r="50" spans="1:7" x14ac:dyDescent="0.3">
      <c r="A50" s="15" t="s">
        <v>13</v>
      </c>
      <c r="B50" s="12">
        <v>142</v>
      </c>
      <c r="C50" s="12">
        <v>1090</v>
      </c>
      <c r="D50" s="12">
        <v>79411451</v>
      </c>
      <c r="E50" s="12">
        <v>1725</v>
      </c>
      <c r="F50" s="12">
        <v>88542630</v>
      </c>
      <c r="G50" s="14">
        <v>11.498567127302586</v>
      </c>
    </row>
    <row r="51" spans="1:7" x14ac:dyDescent="0.3">
      <c r="A51" s="15" t="s">
        <v>14</v>
      </c>
      <c r="B51" s="12">
        <v>103</v>
      </c>
      <c r="C51" s="12">
        <v>723</v>
      </c>
      <c r="D51" s="12">
        <v>37568206</v>
      </c>
      <c r="E51" s="12">
        <v>1364</v>
      </c>
      <c r="F51" s="12">
        <v>82270991</v>
      </c>
      <c r="G51" s="14">
        <v>118.99100265793901</v>
      </c>
    </row>
    <row r="52" spans="1:7" x14ac:dyDescent="0.3">
      <c r="A52" s="15" t="s">
        <v>15</v>
      </c>
      <c r="B52" s="12">
        <v>148</v>
      </c>
      <c r="C52" s="12">
        <v>1349</v>
      </c>
      <c r="D52" s="12">
        <v>93259395</v>
      </c>
      <c r="E52" s="12">
        <v>1585</v>
      </c>
      <c r="F52" s="12">
        <v>103630007</v>
      </c>
      <c r="G52" s="14">
        <v>11.120179366379119</v>
      </c>
    </row>
    <row r="53" spans="1:7" x14ac:dyDescent="0.3">
      <c r="A53" s="15" t="s">
        <v>16</v>
      </c>
      <c r="B53" s="12">
        <v>205</v>
      </c>
      <c r="C53" s="12">
        <v>2028</v>
      </c>
      <c r="D53" s="12">
        <v>123388759</v>
      </c>
      <c r="E53" s="12">
        <v>2316</v>
      </c>
      <c r="F53" s="12">
        <v>134970384</v>
      </c>
      <c r="G53" s="14">
        <v>9.3862885840354391</v>
      </c>
    </row>
    <row r="54" spans="1:7" x14ac:dyDescent="0.3">
      <c r="A54" s="15" t="s">
        <v>17</v>
      </c>
      <c r="B54" s="12">
        <v>109</v>
      </c>
      <c r="C54" s="12">
        <v>841</v>
      </c>
      <c r="D54" s="12">
        <v>45772360</v>
      </c>
      <c r="E54" s="12">
        <v>1382</v>
      </c>
      <c r="F54" s="12">
        <v>90147168</v>
      </c>
      <c r="G54" s="14">
        <v>96.946733793057646</v>
      </c>
    </row>
    <row r="55" spans="1:7" x14ac:dyDescent="0.3">
      <c r="A55" s="15" t="s">
        <v>18</v>
      </c>
      <c r="B55" s="12">
        <v>226</v>
      </c>
      <c r="C55" s="12">
        <v>1748</v>
      </c>
      <c r="D55" s="12">
        <v>101397089</v>
      </c>
      <c r="E55" s="12">
        <v>2802</v>
      </c>
      <c r="F55" s="12">
        <v>191799641</v>
      </c>
      <c r="G55" s="14">
        <v>89.156950058004128</v>
      </c>
    </row>
    <row r="56" spans="1:7" x14ac:dyDescent="0.3">
      <c r="A56" s="15" t="s">
        <v>12</v>
      </c>
      <c r="B56" s="12">
        <v>356</v>
      </c>
      <c r="C56" s="12">
        <v>2748</v>
      </c>
      <c r="D56" s="12">
        <v>168566325</v>
      </c>
      <c r="E56" s="12">
        <v>4458</v>
      </c>
      <c r="F56" s="12">
        <v>275996831</v>
      </c>
      <c r="G56" s="14">
        <v>63.731890696436558</v>
      </c>
    </row>
    <row r="57" spans="1:7" x14ac:dyDescent="0.3">
      <c r="A57" s="11" t="s">
        <v>3</v>
      </c>
      <c r="B57" s="12">
        <v>1673</v>
      </c>
      <c r="C57" s="12">
        <v>13693</v>
      </c>
      <c r="D57" s="12">
        <v>930270471</v>
      </c>
      <c r="E57" s="12">
        <v>20770</v>
      </c>
      <c r="F57" s="12">
        <v>1260521193</v>
      </c>
      <c r="G57" s="14">
        <v>35.500505744850194</v>
      </c>
    </row>
    <row r="58" spans="1:7" x14ac:dyDescent="0.3">
      <c r="A58" s="15" t="s">
        <v>9</v>
      </c>
      <c r="B58" s="12">
        <v>142</v>
      </c>
      <c r="C58" s="12">
        <v>1136</v>
      </c>
      <c r="D58" s="12">
        <v>75160143</v>
      </c>
      <c r="E58" s="12">
        <v>1723</v>
      </c>
      <c r="F58" s="12">
        <v>100034581</v>
      </c>
      <c r="G58" s="14">
        <v>33.095251029525052</v>
      </c>
    </row>
    <row r="59" spans="1:7" x14ac:dyDescent="0.3">
      <c r="A59" s="15" t="s">
        <v>10</v>
      </c>
      <c r="B59" s="12">
        <v>108</v>
      </c>
      <c r="C59" s="12">
        <v>863</v>
      </c>
      <c r="D59" s="12">
        <v>55988687</v>
      </c>
      <c r="E59" s="12">
        <v>1318</v>
      </c>
      <c r="F59" s="12">
        <v>78234898</v>
      </c>
      <c r="G59" s="14">
        <v>39.733403642775187</v>
      </c>
    </row>
    <row r="60" spans="1:7" x14ac:dyDescent="0.3">
      <c r="A60" s="15" t="s">
        <v>11</v>
      </c>
      <c r="B60" s="12">
        <v>212</v>
      </c>
      <c r="C60" s="12">
        <v>1835</v>
      </c>
      <c r="D60" s="12">
        <v>127717041</v>
      </c>
      <c r="E60" s="12">
        <v>2491</v>
      </c>
      <c r="F60" s="12">
        <v>156326068</v>
      </c>
      <c r="G60" s="14">
        <v>22.400320878088618</v>
      </c>
    </row>
    <row r="61" spans="1:7" x14ac:dyDescent="0.3">
      <c r="A61" s="15" t="s">
        <v>13</v>
      </c>
      <c r="B61" s="12">
        <v>106</v>
      </c>
      <c r="C61" s="12">
        <v>960</v>
      </c>
      <c r="D61" s="12">
        <v>61198867</v>
      </c>
      <c r="E61" s="12">
        <v>1346</v>
      </c>
      <c r="F61" s="12">
        <v>70455975</v>
      </c>
      <c r="G61" s="14">
        <v>15.126273497841064</v>
      </c>
    </row>
    <row r="62" spans="1:7" x14ac:dyDescent="0.3">
      <c r="A62" s="15" t="s">
        <v>14</v>
      </c>
      <c r="B62" s="12">
        <v>131</v>
      </c>
      <c r="C62" s="12">
        <v>1426</v>
      </c>
      <c r="D62" s="12">
        <v>96296832</v>
      </c>
      <c r="E62" s="12">
        <v>1437</v>
      </c>
      <c r="F62" s="12">
        <v>82628180</v>
      </c>
      <c r="G62" s="14">
        <v>-14.194290420685906</v>
      </c>
    </row>
    <row r="63" spans="1:7" x14ac:dyDescent="0.3">
      <c r="A63" s="15" t="s">
        <v>15</v>
      </c>
      <c r="B63" s="12">
        <v>123</v>
      </c>
      <c r="C63" s="12">
        <v>864</v>
      </c>
      <c r="D63" s="12">
        <v>59155161</v>
      </c>
      <c r="E63" s="12">
        <v>1727</v>
      </c>
      <c r="F63" s="12">
        <v>109961223</v>
      </c>
      <c r="G63" s="14">
        <v>85.886102144156112</v>
      </c>
    </row>
    <row r="64" spans="1:7" x14ac:dyDescent="0.3">
      <c r="A64" s="15" t="s">
        <v>16</v>
      </c>
      <c r="B64" s="12">
        <v>193</v>
      </c>
      <c r="C64" s="12">
        <v>1534</v>
      </c>
      <c r="D64" s="12">
        <v>93879781</v>
      </c>
      <c r="E64" s="12">
        <v>2558</v>
      </c>
      <c r="F64" s="12">
        <v>153125221</v>
      </c>
      <c r="G64" s="14">
        <v>63.107773973183853</v>
      </c>
    </row>
    <row r="65" spans="1:7" x14ac:dyDescent="0.3">
      <c r="A65" s="15" t="s">
        <v>17</v>
      </c>
      <c r="B65" s="12">
        <v>108</v>
      </c>
      <c r="C65" s="12">
        <v>862</v>
      </c>
      <c r="D65" s="12">
        <v>47393871</v>
      </c>
      <c r="E65" s="12">
        <v>1488</v>
      </c>
      <c r="F65" s="12">
        <v>82741773</v>
      </c>
      <c r="G65" s="14">
        <v>74.583276812311865</v>
      </c>
    </row>
    <row r="66" spans="1:7" x14ac:dyDescent="0.3">
      <c r="A66" s="15" t="s">
        <v>18</v>
      </c>
      <c r="B66" s="12">
        <v>219</v>
      </c>
      <c r="C66" s="12">
        <v>1882</v>
      </c>
      <c r="D66" s="12">
        <v>140408374</v>
      </c>
      <c r="E66" s="12">
        <v>2801</v>
      </c>
      <c r="F66" s="12">
        <v>160517612</v>
      </c>
      <c r="G66" s="14">
        <v>14.321964870841677</v>
      </c>
    </row>
    <row r="67" spans="1:7" x14ac:dyDescent="0.3">
      <c r="A67" s="15" t="s">
        <v>12</v>
      </c>
      <c r="B67" s="12">
        <v>331</v>
      </c>
      <c r="C67" s="12">
        <v>2331</v>
      </c>
      <c r="D67" s="12">
        <v>173071714</v>
      </c>
      <c r="E67" s="12">
        <v>3881</v>
      </c>
      <c r="F67" s="12">
        <v>266495662</v>
      </c>
      <c r="G67" s="14">
        <v>53.979905693890572</v>
      </c>
    </row>
    <row r="68" spans="1:7" x14ac:dyDescent="0.3">
      <c r="A68" s="11" t="s">
        <v>4</v>
      </c>
      <c r="B68" s="12">
        <v>1643</v>
      </c>
      <c r="C68" s="12">
        <v>13546</v>
      </c>
      <c r="D68" s="12">
        <v>866193588</v>
      </c>
      <c r="E68" s="12">
        <v>20769</v>
      </c>
      <c r="F68" s="12">
        <v>1336510568</v>
      </c>
      <c r="G68" s="14">
        <v>54.296982396965056</v>
      </c>
    </row>
    <row r="69" spans="1:7" x14ac:dyDescent="0.3">
      <c r="A69" s="15" t="s">
        <v>9</v>
      </c>
      <c r="B69" s="12">
        <v>105</v>
      </c>
      <c r="C69" s="12">
        <v>884</v>
      </c>
      <c r="D69" s="12">
        <v>55331216</v>
      </c>
      <c r="E69" s="12">
        <v>1218</v>
      </c>
      <c r="F69" s="12">
        <v>74714983</v>
      </c>
      <c r="G69" s="14">
        <v>35.032244727822352</v>
      </c>
    </row>
    <row r="70" spans="1:7" x14ac:dyDescent="0.3">
      <c r="A70" s="15" t="s">
        <v>10</v>
      </c>
      <c r="B70" s="12">
        <v>98</v>
      </c>
      <c r="C70" s="12">
        <v>601</v>
      </c>
      <c r="D70" s="12">
        <v>38531290</v>
      </c>
      <c r="E70" s="12">
        <v>1432</v>
      </c>
      <c r="F70" s="12">
        <v>80596650</v>
      </c>
      <c r="G70" s="14">
        <v>109.17194830487118</v>
      </c>
    </row>
    <row r="71" spans="1:7" x14ac:dyDescent="0.3">
      <c r="A71" s="15" t="s">
        <v>11</v>
      </c>
      <c r="B71" s="12">
        <v>243</v>
      </c>
      <c r="C71" s="12">
        <v>2162</v>
      </c>
      <c r="D71" s="12">
        <v>140434530</v>
      </c>
      <c r="E71" s="12">
        <v>2849</v>
      </c>
      <c r="F71" s="12">
        <v>194157783</v>
      </c>
      <c r="G71" s="14">
        <v>38.255016768311897</v>
      </c>
    </row>
    <row r="72" spans="1:7" x14ac:dyDescent="0.3">
      <c r="A72" s="15" t="s">
        <v>13</v>
      </c>
      <c r="B72" s="12">
        <v>115</v>
      </c>
      <c r="C72" s="12">
        <v>821</v>
      </c>
      <c r="D72" s="12">
        <v>47715235</v>
      </c>
      <c r="E72" s="12">
        <v>1543</v>
      </c>
      <c r="F72" s="12">
        <v>95283797</v>
      </c>
      <c r="G72" s="14">
        <v>99.692607612641964</v>
      </c>
    </row>
    <row r="73" spans="1:7" x14ac:dyDescent="0.3">
      <c r="A73" s="15" t="s">
        <v>14</v>
      </c>
      <c r="B73" s="12">
        <v>122</v>
      </c>
      <c r="C73" s="12">
        <v>978</v>
      </c>
      <c r="D73" s="12">
        <v>62307365</v>
      </c>
      <c r="E73" s="12">
        <v>1346</v>
      </c>
      <c r="F73" s="12">
        <v>90321553</v>
      </c>
      <c r="G73" s="14">
        <v>44.96127865461812</v>
      </c>
    </row>
    <row r="74" spans="1:7" x14ac:dyDescent="0.3">
      <c r="A74" s="15" t="s">
        <v>15</v>
      </c>
      <c r="B74" s="12">
        <v>121</v>
      </c>
      <c r="C74" s="12">
        <v>809</v>
      </c>
      <c r="D74" s="12">
        <v>43857688</v>
      </c>
      <c r="E74" s="12">
        <v>1627</v>
      </c>
      <c r="F74" s="12">
        <v>98461070</v>
      </c>
      <c r="G74" s="14">
        <v>124.50127786033774</v>
      </c>
    </row>
    <row r="75" spans="1:7" x14ac:dyDescent="0.3">
      <c r="A75" s="15" t="s">
        <v>16</v>
      </c>
      <c r="B75" s="12">
        <v>217</v>
      </c>
      <c r="C75" s="12">
        <v>2023</v>
      </c>
      <c r="D75" s="12">
        <v>130244399</v>
      </c>
      <c r="E75" s="12">
        <v>2644</v>
      </c>
      <c r="F75" s="12">
        <v>163437025</v>
      </c>
      <c r="G75" s="14">
        <v>25.48487785643665</v>
      </c>
    </row>
    <row r="76" spans="1:7" x14ac:dyDescent="0.3">
      <c r="A76" s="15" t="s">
        <v>17</v>
      </c>
      <c r="B76" s="12">
        <v>105</v>
      </c>
      <c r="C76" s="12">
        <v>918</v>
      </c>
      <c r="D76" s="12">
        <v>68592902</v>
      </c>
      <c r="E76" s="12">
        <v>1299</v>
      </c>
      <c r="F76" s="12">
        <v>86365602</v>
      </c>
      <c r="G76" s="14">
        <v>25.910406881458375</v>
      </c>
    </row>
    <row r="77" spans="1:7" x14ac:dyDescent="0.3">
      <c r="A77" s="15" t="s">
        <v>18</v>
      </c>
      <c r="B77" s="12">
        <v>181</v>
      </c>
      <c r="C77" s="12">
        <v>1476</v>
      </c>
      <c r="D77" s="12">
        <v>89773257</v>
      </c>
      <c r="E77" s="12">
        <v>2460</v>
      </c>
      <c r="F77" s="12">
        <v>168666903</v>
      </c>
      <c r="G77" s="14">
        <v>87.881011156808086</v>
      </c>
    </row>
    <row r="78" spans="1:7" x14ac:dyDescent="0.3">
      <c r="A78" s="15" t="s">
        <v>12</v>
      </c>
      <c r="B78" s="12">
        <v>336</v>
      </c>
      <c r="C78" s="12">
        <v>2874</v>
      </c>
      <c r="D78" s="12">
        <v>189405706</v>
      </c>
      <c r="E78" s="12">
        <v>4351</v>
      </c>
      <c r="F78" s="12">
        <v>284505202</v>
      </c>
      <c r="G78" s="14">
        <v>50.209414493563351</v>
      </c>
    </row>
    <row r="79" spans="1:7" x14ac:dyDescent="0.3">
      <c r="A79" s="7" t="s">
        <v>0</v>
      </c>
      <c r="B79" s="8">
        <v>12000</v>
      </c>
      <c r="C79" s="8">
        <v>99512</v>
      </c>
      <c r="D79" s="8">
        <v>6304746718</v>
      </c>
      <c r="E79" s="8">
        <v>146333</v>
      </c>
      <c r="F79" s="8">
        <v>9141872698</v>
      </c>
      <c r="G79" s="10">
        <v>44.999840705734123</v>
      </c>
    </row>
  </sheetData>
  <conditionalFormatting pivot="1" sqref="G2 G3:G12 G13 G14:G23 G24 G25:G34 G35 G36:G45 G46 G47:G56 G57 G58:G67 G68 G69:G78">
    <cfRule type="cellIs" dxfId="86" priority="3" operator="greaterThan">
      <formula>0</formula>
    </cfRule>
  </conditionalFormatting>
  <conditionalFormatting pivot="1" sqref="G2 G3:G12 G13 G14:G23 G24 G25:G34 G35 G36:G45 G46 G47:G56 G57 G58:G67 G68 G69:G78">
    <cfRule type="cellIs" dxfId="85" priority="2" operator="lessThan">
      <formula>0</formula>
    </cfRule>
  </conditionalFormatting>
  <conditionalFormatting pivot="1" sqref="G2 G3:G12 G13 G14:G23 G24 G25:G34 G35 G36:G45 G46 G47:G56 G57 G58:G67 G68 G69:G78">
    <cfRule type="cellIs" dxfId="84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B5F4-6549-4CE1-A508-12C70281B635}">
  <dimension ref="A1:J12"/>
  <sheetViews>
    <sheetView showGridLines="0" workbookViewId="0">
      <selection activeCell="A15" sqref="A15"/>
    </sheetView>
  </sheetViews>
  <sheetFormatPr defaultRowHeight="14.4" x14ac:dyDescent="0.3"/>
  <cols>
    <col min="1" max="1" width="13.5546875" bestFit="1" customWidth="1"/>
    <col min="2" max="2" width="12.21875" bestFit="1" customWidth="1"/>
    <col min="3" max="3" width="17" bestFit="1" customWidth="1"/>
    <col min="4" max="4" width="20.33203125" bestFit="1" customWidth="1"/>
    <col min="5" max="5" width="17" bestFit="1" customWidth="1"/>
    <col min="6" max="6" width="20.33203125" bestFit="1" customWidth="1"/>
    <col min="7" max="7" width="9.109375" bestFit="1" customWidth="1"/>
    <col min="8" max="8" width="17.33203125" bestFit="1" customWidth="1"/>
    <col min="9" max="9" width="20.5546875" bestFit="1" customWidth="1"/>
    <col min="10" max="10" width="13.6640625" bestFit="1" customWidth="1"/>
  </cols>
  <sheetData>
    <row r="1" spans="1:10" x14ac:dyDescent="0.3">
      <c r="A1" s="6" t="s">
        <v>19</v>
      </c>
      <c r="B1" s="6" t="s">
        <v>21</v>
      </c>
      <c r="C1" s="6" t="s">
        <v>28</v>
      </c>
      <c r="D1" s="6" t="s">
        <v>35</v>
      </c>
      <c r="E1" s="6" t="s">
        <v>31</v>
      </c>
      <c r="F1" s="6" t="s">
        <v>29</v>
      </c>
      <c r="G1" s="6" t="s">
        <v>30</v>
      </c>
      <c r="H1" s="6" t="s">
        <v>33</v>
      </c>
      <c r="I1" s="6" t="s">
        <v>34</v>
      </c>
      <c r="J1" s="17" t="s">
        <v>32</v>
      </c>
    </row>
    <row r="2" spans="1:10" x14ac:dyDescent="0.3">
      <c r="A2" s="11" t="s">
        <v>9</v>
      </c>
      <c r="B2" s="12">
        <v>833</v>
      </c>
      <c r="C2" s="12">
        <v>7007</v>
      </c>
      <c r="D2" s="13">
        <v>454663413</v>
      </c>
      <c r="E2" s="12">
        <v>9921</v>
      </c>
      <c r="F2" s="13">
        <v>647327387</v>
      </c>
      <c r="G2" s="14">
        <v>42.375077582941564</v>
      </c>
      <c r="H2" s="12">
        <v>16928</v>
      </c>
      <c r="I2" s="13">
        <v>1101990800</v>
      </c>
      <c r="J2" s="14">
        <f>(I2/$I$12)*100</f>
        <v>7.1341875547120042</v>
      </c>
    </row>
    <row r="3" spans="1:10" x14ac:dyDescent="0.3">
      <c r="A3" s="11" t="s">
        <v>10</v>
      </c>
      <c r="B3" s="12">
        <v>821</v>
      </c>
      <c r="C3" s="12">
        <v>6064</v>
      </c>
      <c r="D3" s="13">
        <v>395515362</v>
      </c>
      <c r="E3" s="12">
        <v>10392</v>
      </c>
      <c r="F3" s="13">
        <v>601763825</v>
      </c>
      <c r="G3" s="14">
        <v>52.146764150212697</v>
      </c>
      <c r="H3" s="12">
        <v>16456</v>
      </c>
      <c r="I3" s="13">
        <v>997279187</v>
      </c>
      <c r="J3" s="14">
        <f t="shared" ref="J3:J11" si="0">(I3/$I$12)*100</f>
        <v>6.456294158234992</v>
      </c>
    </row>
    <row r="4" spans="1:10" x14ac:dyDescent="0.3">
      <c r="A4" s="11" t="s">
        <v>11</v>
      </c>
      <c r="B4" s="12">
        <v>1531</v>
      </c>
      <c r="C4" s="12">
        <v>13594</v>
      </c>
      <c r="D4" s="13">
        <v>853099267</v>
      </c>
      <c r="E4" s="12">
        <v>18143</v>
      </c>
      <c r="F4" s="13">
        <v>1141521968</v>
      </c>
      <c r="G4" s="14">
        <v>33.808808910862652</v>
      </c>
      <c r="H4" s="12">
        <v>31737</v>
      </c>
      <c r="I4" s="13">
        <v>1994621235</v>
      </c>
      <c r="J4" s="14">
        <f t="shared" si="0"/>
        <v>12.912995272829217</v>
      </c>
    </row>
    <row r="5" spans="1:10" x14ac:dyDescent="0.3">
      <c r="A5" s="11" t="s">
        <v>13</v>
      </c>
      <c r="B5" s="12">
        <v>865</v>
      </c>
      <c r="C5" s="12">
        <v>6833</v>
      </c>
      <c r="D5" s="13">
        <v>417643467</v>
      </c>
      <c r="E5" s="12">
        <v>10892</v>
      </c>
      <c r="F5" s="13">
        <v>642092541</v>
      </c>
      <c r="G5" s="14">
        <v>53.741789764426031</v>
      </c>
      <c r="H5" s="12">
        <v>17725</v>
      </c>
      <c r="I5" s="13">
        <v>1059736008</v>
      </c>
      <c r="J5" s="14">
        <f t="shared" si="0"/>
        <v>6.8606338996240082</v>
      </c>
    </row>
    <row r="6" spans="1:10" x14ac:dyDescent="0.3">
      <c r="A6" s="11" t="s">
        <v>14</v>
      </c>
      <c r="B6" s="12">
        <v>852</v>
      </c>
      <c r="C6" s="12">
        <v>6937</v>
      </c>
      <c r="D6" s="13">
        <v>402182615</v>
      </c>
      <c r="E6" s="12">
        <v>10661</v>
      </c>
      <c r="F6" s="13">
        <v>665204323</v>
      </c>
      <c r="G6" s="14">
        <v>65.398577211001523</v>
      </c>
      <c r="H6" s="12">
        <v>17598</v>
      </c>
      <c r="I6" s="13">
        <v>1067386938</v>
      </c>
      <c r="J6" s="14">
        <f t="shared" si="0"/>
        <v>6.9101653200205959</v>
      </c>
    </row>
    <row r="7" spans="1:10" x14ac:dyDescent="0.3">
      <c r="A7" s="11" t="s">
        <v>15</v>
      </c>
      <c r="B7" s="12">
        <v>889</v>
      </c>
      <c r="C7" s="12">
        <v>7379</v>
      </c>
      <c r="D7" s="13">
        <v>481365222</v>
      </c>
      <c r="E7" s="12">
        <v>10691</v>
      </c>
      <c r="F7" s="13">
        <v>683279872</v>
      </c>
      <c r="G7" s="14">
        <v>41.946248040328932</v>
      </c>
      <c r="H7" s="12">
        <v>18070</v>
      </c>
      <c r="I7" s="13">
        <v>1164645094</v>
      </c>
      <c r="J7" s="14">
        <f t="shared" si="0"/>
        <v>7.5398057182248639</v>
      </c>
    </row>
    <row r="8" spans="1:10" x14ac:dyDescent="0.3">
      <c r="A8" s="11" t="s">
        <v>16</v>
      </c>
      <c r="B8" s="12">
        <v>1456</v>
      </c>
      <c r="C8" s="12">
        <v>12767</v>
      </c>
      <c r="D8" s="13">
        <v>832230911</v>
      </c>
      <c r="E8" s="12">
        <v>17519</v>
      </c>
      <c r="F8" s="13">
        <v>1078497746</v>
      </c>
      <c r="G8" s="14">
        <v>29.591166555456144</v>
      </c>
      <c r="H8" s="12">
        <v>30286</v>
      </c>
      <c r="I8" s="13">
        <v>1910728657</v>
      </c>
      <c r="J8" s="14">
        <f t="shared" si="0"/>
        <v>12.369882403011877</v>
      </c>
    </row>
    <row r="9" spans="1:10" x14ac:dyDescent="0.3">
      <c r="A9" s="11" t="s">
        <v>17</v>
      </c>
      <c r="B9" s="12">
        <v>820</v>
      </c>
      <c r="C9" s="12">
        <v>7037</v>
      </c>
      <c r="D9" s="13">
        <v>435069417</v>
      </c>
      <c r="E9" s="12">
        <v>10197</v>
      </c>
      <c r="F9" s="13">
        <v>612970096</v>
      </c>
      <c r="G9" s="14">
        <v>40.890182588954531</v>
      </c>
      <c r="H9" s="12">
        <v>17234</v>
      </c>
      <c r="I9" s="13">
        <v>1048039513</v>
      </c>
      <c r="J9" s="14">
        <f t="shared" si="0"/>
        <v>6.7849118617787276</v>
      </c>
    </row>
    <row r="10" spans="1:10" x14ac:dyDescent="0.3">
      <c r="A10" s="11" t="s">
        <v>18</v>
      </c>
      <c r="B10" s="12">
        <v>1545</v>
      </c>
      <c r="C10" s="12">
        <v>12720</v>
      </c>
      <c r="D10" s="13">
        <v>802665712</v>
      </c>
      <c r="E10" s="12">
        <v>18672</v>
      </c>
      <c r="F10" s="13">
        <v>1169467168</v>
      </c>
      <c r="G10" s="14">
        <v>45.697910165620733</v>
      </c>
      <c r="H10" s="12">
        <v>31392</v>
      </c>
      <c r="I10" s="13">
        <v>1972132880</v>
      </c>
      <c r="J10" s="14">
        <f t="shared" si="0"/>
        <v>12.767407721311594</v>
      </c>
    </row>
    <row r="11" spans="1:10" x14ac:dyDescent="0.3">
      <c r="A11" s="11" t="s">
        <v>12</v>
      </c>
      <c r="B11" s="12">
        <v>2388</v>
      </c>
      <c r="C11" s="12">
        <v>19174</v>
      </c>
      <c r="D11" s="13">
        <v>1230311332</v>
      </c>
      <c r="E11" s="12">
        <v>29245</v>
      </c>
      <c r="F11" s="13">
        <v>1899747772</v>
      </c>
      <c r="G11" s="14">
        <v>54.411954323119247</v>
      </c>
      <c r="H11" s="12">
        <v>48419</v>
      </c>
      <c r="I11" s="13">
        <v>3130059104</v>
      </c>
      <c r="J11" s="14">
        <f t="shared" si="0"/>
        <v>20.263716090252121</v>
      </c>
    </row>
    <row r="12" spans="1:10" x14ac:dyDescent="0.3">
      <c r="A12" s="7" t="s">
        <v>0</v>
      </c>
      <c r="B12" s="8">
        <v>12000</v>
      </c>
      <c r="C12" s="8">
        <v>99512</v>
      </c>
      <c r="D12" s="9">
        <v>6304746718</v>
      </c>
      <c r="E12" s="8">
        <v>146333</v>
      </c>
      <c r="F12" s="9">
        <v>9141872698</v>
      </c>
      <c r="G12" s="10">
        <v>44.999840705734123</v>
      </c>
      <c r="H12" s="8">
        <v>245845</v>
      </c>
      <c r="I12" s="9">
        <v>15446619416</v>
      </c>
      <c r="J12" s="16">
        <f>(I12/$I$12)*100</f>
        <v>100</v>
      </c>
    </row>
  </sheetData>
  <conditionalFormatting pivot="1" sqref="G2:G11">
    <cfRule type="cellIs" dxfId="28" priority="3" operator="greaterThan">
      <formula>0</formula>
    </cfRule>
  </conditionalFormatting>
  <conditionalFormatting pivot="1" sqref="G2:G11">
    <cfRule type="cellIs" dxfId="27" priority="2" operator="lessThan">
      <formula>0</formula>
    </cfRule>
  </conditionalFormatting>
  <conditionalFormatting pivot="1" sqref="G2:G11">
    <cfRule type="cellIs" dxfId="26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A32B-EEB5-43D1-BA26-8554A1104AEF}">
  <dimension ref="A1:I142"/>
  <sheetViews>
    <sheetView workbookViewId="0"/>
  </sheetViews>
  <sheetFormatPr defaultRowHeight="14.4" x14ac:dyDescent="0.3"/>
  <cols>
    <col min="1" max="1" width="9.21875" bestFit="1" customWidth="1"/>
    <col min="2" max="2" width="13.5546875" bestFit="1" customWidth="1"/>
    <col min="3" max="3" width="12.21875" bestFit="1" customWidth="1"/>
    <col min="4" max="5" width="12.77734375" bestFit="1" customWidth="1"/>
    <col min="6" max="7" width="12.33203125" bestFit="1" customWidth="1"/>
    <col min="8" max="8" width="13.109375" bestFit="1" customWidth="1"/>
    <col min="9" max="9" width="12.5546875" bestFit="1" customWidth="1"/>
    <col min="10" max="13" width="14.88671875" bestFit="1" customWidth="1"/>
    <col min="14" max="14" width="19.6640625" bestFit="1" customWidth="1"/>
    <col min="15" max="15" width="19.21875" bestFit="1" customWidth="1"/>
    <col min="16" max="16" width="19.6640625" bestFit="1" customWidth="1"/>
    <col min="17" max="17" width="19.21875" bestFit="1" customWidth="1"/>
    <col min="18" max="18" width="23.6640625" bestFit="1" customWidth="1"/>
  </cols>
  <sheetData>
    <row r="1" spans="1:9" x14ac:dyDescent="0.3">
      <c r="A1" s="2" t="s">
        <v>8</v>
      </c>
      <c r="B1" s="2" t="s">
        <v>19</v>
      </c>
      <c r="C1" s="2" t="s">
        <v>20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 x14ac:dyDescent="0.3">
      <c r="A2" s="3" t="s">
        <v>5</v>
      </c>
      <c r="B2" s="3" t="s">
        <v>9</v>
      </c>
      <c r="C2" s="4">
        <v>130</v>
      </c>
      <c r="D2" s="4">
        <v>1176</v>
      </c>
      <c r="E2" s="4">
        <v>1502</v>
      </c>
      <c r="F2" s="4">
        <v>80103137</v>
      </c>
      <c r="G2" s="4">
        <v>101436580</v>
      </c>
      <c r="H2" s="5">
        <f>D2+E2</f>
        <v>2678</v>
      </c>
      <c r="I2" s="5">
        <f>F2+G2</f>
        <v>181539717</v>
      </c>
    </row>
    <row r="3" spans="1:9" x14ac:dyDescent="0.3">
      <c r="A3" s="3" t="s">
        <v>5</v>
      </c>
      <c r="B3" s="3" t="s">
        <v>10</v>
      </c>
      <c r="C3" s="4">
        <v>119</v>
      </c>
      <c r="D3" s="4">
        <v>901</v>
      </c>
      <c r="E3" s="4">
        <v>1399</v>
      </c>
      <c r="F3" s="4">
        <v>60772969</v>
      </c>
      <c r="G3" s="4">
        <v>87738953</v>
      </c>
      <c r="H3" s="5">
        <f t="shared" ref="H3:H66" si="0">D3+E3</f>
        <v>2300</v>
      </c>
      <c r="I3" s="5">
        <f t="shared" ref="I3:I66" si="1">F3+G3</f>
        <v>148511922</v>
      </c>
    </row>
    <row r="4" spans="1:9" x14ac:dyDescent="0.3">
      <c r="A4" s="3" t="s">
        <v>5</v>
      </c>
      <c r="B4" s="3" t="s">
        <v>11</v>
      </c>
      <c r="C4" s="4">
        <v>216</v>
      </c>
      <c r="D4" s="4">
        <v>1845</v>
      </c>
      <c r="E4" s="4">
        <v>2869</v>
      </c>
      <c r="F4" s="4">
        <v>94005304</v>
      </c>
      <c r="G4" s="4">
        <v>180171695</v>
      </c>
      <c r="H4" s="5">
        <f t="shared" si="0"/>
        <v>4714</v>
      </c>
      <c r="I4" s="5">
        <f t="shared" si="1"/>
        <v>274176999</v>
      </c>
    </row>
    <row r="5" spans="1:9" x14ac:dyDescent="0.3">
      <c r="A5" s="3" t="s">
        <v>5</v>
      </c>
      <c r="B5" s="3" t="s">
        <v>12</v>
      </c>
      <c r="C5" s="4">
        <v>348</v>
      </c>
      <c r="D5" s="4">
        <v>2619</v>
      </c>
      <c r="E5" s="4">
        <v>4383</v>
      </c>
      <c r="F5" s="4">
        <v>149732961</v>
      </c>
      <c r="G5" s="4">
        <v>297880189</v>
      </c>
      <c r="H5" s="5">
        <f t="shared" si="0"/>
        <v>7002</v>
      </c>
      <c r="I5" s="5">
        <f t="shared" si="1"/>
        <v>447613150</v>
      </c>
    </row>
    <row r="6" spans="1:9" x14ac:dyDescent="0.3">
      <c r="A6" s="3" t="s">
        <v>5</v>
      </c>
      <c r="B6" s="3" t="s">
        <v>13</v>
      </c>
      <c r="C6" s="4">
        <v>118</v>
      </c>
      <c r="D6" s="4">
        <v>788</v>
      </c>
      <c r="E6" s="4">
        <v>1627</v>
      </c>
      <c r="F6" s="4">
        <v>51034907</v>
      </c>
      <c r="G6" s="4">
        <v>103923630</v>
      </c>
      <c r="H6" s="5">
        <f t="shared" si="0"/>
        <v>2415</v>
      </c>
      <c r="I6" s="5">
        <f t="shared" si="1"/>
        <v>154958537</v>
      </c>
    </row>
    <row r="7" spans="1:9" x14ac:dyDescent="0.3">
      <c r="A7" s="3" t="s">
        <v>5</v>
      </c>
      <c r="B7" s="3" t="s">
        <v>14</v>
      </c>
      <c r="C7" s="4">
        <v>117</v>
      </c>
      <c r="D7" s="4">
        <v>907</v>
      </c>
      <c r="E7" s="4">
        <v>1482</v>
      </c>
      <c r="F7" s="4">
        <v>51666590</v>
      </c>
      <c r="G7" s="4">
        <v>82325862</v>
      </c>
      <c r="H7" s="5">
        <f t="shared" si="0"/>
        <v>2389</v>
      </c>
      <c r="I7" s="5">
        <f t="shared" si="1"/>
        <v>133992452</v>
      </c>
    </row>
    <row r="8" spans="1:9" x14ac:dyDescent="0.3">
      <c r="A8" s="3" t="s">
        <v>5</v>
      </c>
      <c r="B8" s="3" t="s">
        <v>15</v>
      </c>
      <c r="C8" s="4">
        <v>131</v>
      </c>
      <c r="D8" s="4">
        <v>1080</v>
      </c>
      <c r="E8" s="4">
        <v>1357</v>
      </c>
      <c r="F8" s="4">
        <v>70010892</v>
      </c>
      <c r="G8" s="4">
        <v>83666841</v>
      </c>
      <c r="H8" s="5">
        <f t="shared" si="0"/>
        <v>2437</v>
      </c>
      <c r="I8" s="5">
        <f t="shared" si="1"/>
        <v>153677733</v>
      </c>
    </row>
    <row r="9" spans="1:9" x14ac:dyDescent="0.3">
      <c r="A9" s="3" t="s">
        <v>5</v>
      </c>
      <c r="B9" s="3" t="s">
        <v>16</v>
      </c>
      <c r="C9" s="4">
        <v>219</v>
      </c>
      <c r="D9" s="4">
        <v>2007</v>
      </c>
      <c r="E9" s="4">
        <v>2502</v>
      </c>
      <c r="F9" s="4">
        <v>129067869</v>
      </c>
      <c r="G9" s="4">
        <v>170822486</v>
      </c>
      <c r="H9" s="5">
        <f t="shared" si="0"/>
        <v>4509</v>
      </c>
      <c r="I9" s="5">
        <f t="shared" si="1"/>
        <v>299890355</v>
      </c>
    </row>
    <row r="10" spans="1:9" x14ac:dyDescent="0.3">
      <c r="A10" s="3" t="s">
        <v>5</v>
      </c>
      <c r="B10" s="3" t="s">
        <v>17</v>
      </c>
      <c r="C10" s="4">
        <v>117</v>
      </c>
      <c r="D10" s="4">
        <v>1208</v>
      </c>
      <c r="E10" s="4">
        <v>1331</v>
      </c>
      <c r="F10" s="4">
        <v>66111395</v>
      </c>
      <c r="G10" s="4">
        <v>72081310</v>
      </c>
      <c r="H10" s="5">
        <f t="shared" si="0"/>
        <v>2539</v>
      </c>
      <c r="I10" s="5">
        <f t="shared" si="1"/>
        <v>138192705</v>
      </c>
    </row>
    <row r="11" spans="1:9" x14ac:dyDescent="0.3">
      <c r="A11" s="3" t="s">
        <v>5</v>
      </c>
      <c r="B11" s="3" t="s">
        <v>18</v>
      </c>
      <c r="C11" s="4">
        <v>243</v>
      </c>
      <c r="D11" s="4">
        <v>1946</v>
      </c>
      <c r="E11" s="4">
        <v>2763</v>
      </c>
      <c r="F11" s="4">
        <v>123134477</v>
      </c>
      <c r="G11" s="4">
        <v>178673236</v>
      </c>
      <c r="H11" s="5">
        <f t="shared" si="0"/>
        <v>4709</v>
      </c>
      <c r="I11" s="5">
        <f t="shared" si="1"/>
        <v>301807713</v>
      </c>
    </row>
    <row r="12" spans="1:9" x14ac:dyDescent="0.3">
      <c r="A12" s="3" t="s">
        <v>6</v>
      </c>
      <c r="B12" s="3" t="s">
        <v>9</v>
      </c>
      <c r="C12" s="4">
        <v>113</v>
      </c>
      <c r="D12" s="4">
        <v>1006</v>
      </c>
      <c r="E12" s="4">
        <v>1173</v>
      </c>
      <c r="F12" s="4">
        <v>66393341</v>
      </c>
      <c r="G12" s="4">
        <v>83695932</v>
      </c>
      <c r="H12" s="5">
        <f t="shared" si="0"/>
        <v>2179</v>
      </c>
      <c r="I12" s="5">
        <f t="shared" si="1"/>
        <v>150089273</v>
      </c>
    </row>
    <row r="13" spans="1:9" x14ac:dyDescent="0.3">
      <c r="A13" s="3" t="s">
        <v>6</v>
      </c>
      <c r="B13" s="3" t="s">
        <v>10</v>
      </c>
      <c r="C13" s="4">
        <v>125</v>
      </c>
      <c r="D13" s="4">
        <v>807</v>
      </c>
      <c r="E13" s="4">
        <v>1519</v>
      </c>
      <c r="F13" s="4">
        <v>53273702</v>
      </c>
      <c r="G13" s="4">
        <v>90897037</v>
      </c>
      <c r="H13" s="5">
        <f t="shared" si="0"/>
        <v>2326</v>
      </c>
      <c r="I13" s="5">
        <f t="shared" si="1"/>
        <v>144170739</v>
      </c>
    </row>
    <row r="14" spans="1:9" x14ac:dyDescent="0.3">
      <c r="A14" s="3" t="s">
        <v>6</v>
      </c>
      <c r="B14" s="3" t="s">
        <v>11</v>
      </c>
      <c r="C14" s="4">
        <v>227</v>
      </c>
      <c r="D14" s="4">
        <v>2198</v>
      </c>
      <c r="E14" s="4">
        <v>2577</v>
      </c>
      <c r="F14" s="4">
        <v>130341099</v>
      </c>
      <c r="G14" s="4">
        <v>153853265</v>
      </c>
      <c r="H14" s="5">
        <f t="shared" si="0"/>
        <v>4775</v>
      </c>
      <c r="I14" s="5">
        <f t="shared" si="1"/>
        <v>284194364</v>
      </c>
    </row>
    <row r="15" spans="1:9" x14ac:dyDescent="0.3">
      <c r="A15" s="3" t="s">
        <v>6</v>
      </c>
      <c r="B15" s="3" t="s">
        <v>12</v>
      </c>
      <c r="C15" s="4">
        <v>329</v>
      </c>
      <c r="D15" s="4">
        <v>2765</v>
      </c>
      <c r="E15" s="4">
        <v>3809</v>
      </c>
      <c r="F15" s="4">
        <v>184590388</v>
      </c>
      <c r="G15" s="4">
        <v>246924745</v>
      </c>
      <c r="H15" s="5">
        <f t="shared" si="0"/>
        <v>6574</v>
      </c>
      <c r="I15" s="5">
        <f t="shared" si="1"/>
        <v>431515133</v>
      </c>
    </row>
    <row r="16" spans="1:9" x14ac:dyDescent="0.3">
      <c r="A16" s="3" t="s">
        <v>6</v>
      </c>
      <c r="B16" s="3" t="s">
        <v>13</v>
      </c>
      <c r="C16" s="4">
        <v>129</v>
      </c>
      <c r="D16" s="4">
        <v>1226</v>
      </c>
      <c r="E16" s="4">
        <v>1507</v>
      </c>
      <c r="F16" s="4">
        <v>74977229</v>
      </c>
      <c r="G16" s="4">
        <v>84012117</v>
      </c>
      <c r="H16" s="5">
        <f t="shared" si="0"/>
        <v>2733</v>
      </c>
      <c r="I16" s="5">
        <f t="shared" si="1"/>
        <v>158989346</v>
      </c>
    </row>
    <row r="17" spans="1:9" x14ac:dyDescent="0.3">
      <c r="A17" s="3" t="s">
        <v>6</v>
      </c>
      <c r="B17" s="3" t="s">
        <v>14</v>
      </c>
      <c r="C17" s="4">
        <v>123</v>
      </c>
      <c r="D17" s="4">
        <v>1104</v>
      </c>
      <c r="E17" s="4">
        <v>1504</v>
      </c>
      <c r="F17" s="4">
        <v>45531382</v>
      </c>
      <c r="G17" s="4">
        <v>97535039</v>
      </c>
      <c r="H17" s="5">
        <f t="shared" si="0"/>
        <v>2608</v>
      </c>
      <c r="I17" s="5">
        <f t="shared" si="1"/>
        <v>143066421</v>
      </c>
    </row>
    <row r="18" spans="1:9" x14ac:dyDescent="0.3">
      <c r="A18" s="3" t="s">
        <v>6</v>
      </c>
      <c r="B18" s="3" t="s">
        <v>15</v>
      </c>
      <c r="C18" s="4">
        <v>135</v>
      </c>
      <c r="D18" s="4">
        <v>1295</v>
      </c>
      <c r="E18" s="4">
        <v>1439</v>
      </c>
      <c r="F18" s="4">
        <v>91727216</v>
      </c>
      <c r="G18" s="4">
        <v>89944296</v>
      </c>
      <c r="H18" s="5">
        <f t="shared" si="0"/>
        <v>2734</v>
      </c>
      <c r="I18" s="5">
        <f t="shared" si="1"/>
        <v>181671512</v>
      </c>
    </row>
    <row r="19" spans="1:9" x14ac:dyDescent="0.3">
      <c r="A19" s="3" t="s">
        <v>6</v>
      </c>
      <c r="B19" s="3" t="s">
        <v>16</v>
      </c>
      <c r="C19" s="4">
        <v>213</v>
      </c>
      <c r="D19" s="4">
        <v>1616</v>
      </c>
      <c r="E19" s="4">
        <v>2656</v>
      </c>
      <c r="F19" s="4">
        <v>101379758</v>
      </c>
      <c r="G19" s="4">
        <v>161603199</v>
      </c>
      <c r="H19" s="5">
        <f t="shared" si="0"/>
        <v>4272</v>
      </c>
      <c r="I19" s="5">
        <f t="shared" si="1"/>
        <v>262982957</v>
      </c>
    </row>
    <row r="20" spans="1:9" x14ac:dyDescent="0.3">
      <c r="A20" s="3" t="s">
        <v>6</v>
      </c>
      <c r="B20" s="3" t="s">
        <v>17</v>
      </c>
      <c r="C20" s="4">
        <v>144</v>
      </c>
      <c r="D20" s="4">
        <v>1316</v>
      </c>
      <c r="E20" s="4">
        <v>1863</v>
      </c>
      <c r="F20" s="4">
        <v>77571966</v>
      </c>
      <c r="G20" s="4">
        <v>113642048</v>
      </c>
      <c r="H20" s="5">
        <f t="shared" si="0"/>
        <v>3179</v>
      </c>
      <c r="I20" s="5">
        <f t="shared" si="1"/>
        <v>191214014</v>
      </c>
    </row>
    <row r="21" spans="1:9" x14ac:dyDescent="0.3">
      <c r="A21" s="3" t="s">
        <v>6</v>
      </c>
      <c r="B21" s="3" t="s">
        <v>18</v>
      </c>
      <c r="C21" s="4">
        <v>211</v>
      </c>
      <c r="D21" s="4">
        <v>1721</v>
      </c>
      <c r="E21" s="4">
        <v>2577</v>
      </c>
      <c r="F21" s="4">
        <v>112706131</v>
      </c>
      <c r="G21" s="4">
        <v>149443296</v>
      </c>
      <c r="H21" s="5">
        <f t="shared" si="0"/>
        <v>4298</v>
      </c>
      <c r="I21" s="5">
        <f t="shared" si="1"/>
        <v>262149427</v>
      </c>
    </row>
    <row r="22" spans="1:9" x14ac:dyDescent="0.3">
      <c r="A22" s="3" t="s">
        <v>1</v>
      </c>
      <c r="B22" s="3" t="s">
        <v>9</v>
      </c>
      <c r="C22" s="4">
        <v>103</v>
      </c>
      <c r="D22" s="4">
        <v>763</v>
      </c>
      <c r="E22" s="4">
        <v>1459</v>
      </c>
      <c r="F22" s="4">
        <v>47377501</v>
      </c>
      <c r="G22" s="4">
        <v>98130350</v>
      </c>
      <c r="H22" s="5">
        <f t="shared" si="0"/>
        <v>2222</v>
      </c>
      <c r="I22" s="5">
        <f t="shared" si="1"/>
        <v>145507851</v>
      </c>
    </row>
    <row r="23" spans="1:9" x14ac:dyDescent="0.3">
      <c r="A23" s="3" t="s">
        <v>1</v>
      </c>
      <c r="B23" s="3" t="s">
        <v>10</v>
      </c>
      <c r="C23" s="4">
        <v>128</v>
      </c>
      <c r="D23" s="4">
        <v>909</v>
      </c>
      <c r="E23" s="4">
        <v>1877</v>
      </c>
      <c r="F23" s="4">
        <v>56785614</v>
      </c>
      <c r="G23" s="4">
        <v>108982589</v>
      </c>
      <c r="H23" s="5">
        <f t="shared" si="0"/>
        <v>2786</v>
      </c>
      <c r="I23" s="5">
        <f t="shared" si="1"/>
        <v>165768203</v>
      </c>
    </row>
    <row r="24" spans="1:9" x14ac:dyDescent="0.3">
      <c r="A24" s="3" t="s">
        <v>1</v>
      </c>
      <c r="B24" s="3" t="s">
        <v>11</v>
      </c>
      <c r="C24" s="4">
        <v>197</v>
      </c>
      <c r="D24" s="4">
        <v>1971</v>
      </c>
      <c r="E24" s="4">
        <v>2226</v>
      </c>
      <c r="F24" s="4">
        <v>139020070</v>
      </c>
      <c r="G24" s="4">
        <v>147908661</v>
      </c>
      <c r="H24" s="5">
        <f t="shared" si="0"/>
        <v>4197</v>
      </c>
      <c r="I24" s="5">
        <f t="shared" si="1"/>
        <v>286928731</v>
      </c>
    </row>
    <row r="25" spans="1:9" x14ac:dyDescent="0.3">
      <c r="A25" s="3" t="s">
        <v>1</v>
      </c>
      <c r="B25" s="3" t="s">
        <v>12</v>
      </c>
      <c r="C25" s="4">
        <v>356</v>
      </c>
      <c r="D25" s="4">
        <v>3164</v>
      </c>
      <c r="E25" s="4">
        <v>4278</v>
      </c>
      <c r="F25" s="4">
        <v>196844230</v>
      </c>
      <c r="G25" s="4">
        <v>259025320</v>
      </c>
      <c r="H25" s="5">
        <f t="shared" si="0"/>
        <v>7442</v>
      </c>
      <c r="I25" s="5">
        <f t="shared" si="1"/>
        <v>455869550</v>
      </c>
    </row>
    <row r="26" spans="1:9" x14ac:dyDescent="0.3">
      <c r="A26" s="3" t="s">
        <v>1</v>
      </c>
      <c r="B26" s="3" t="s">
        <v>13</v>
      </c>
      <c r="C26" s="4">
        <v>127</v>
      </c>
      <c r="D26" s="4">
        <v>877</v>
      </c>
      <c r="E26" s="4">
        <v>1603</v>
      </c>
      <c r="F26" s="4">
        <v>44872504</v>
      </c>
      <c r="G26" s="4">
        <v>95771911</v>
      </c>
      <c r="H26" s="5">
        <f t="shared" si="0"/>
        <v>2480</v>
      </c>
      <c r="I26" s="5">
        <f t="shared" si="1"/>
        <v>140644415</v>
      </c>
    </row>
    <row r="27" spans="1:9" x14ac:dyDescent="0.3">
      <c r="A27" s="3" t="s">
        <v>1</v>
      </c>
      <c r="B27" s="3" t="s">
        <v>14</v>
      </c>
      <c r="C27" s="4">
        <v>129</v>
      </c>
      <c r="D27" s="4">
        <v>841</v>
      </c>
      <c r="E27" s="4">
        <v>1961</v>
      </c>
      <c r="F27" s="4">
        <v>43791383</v>
      </c>
      <c r="G27" s="4">
        <v>134102093</v>
      </c>
      <c r="H27" s="5">
        <f t="shared" si="0"/>
        <v>2802</v>
      </c>
      <c r="I27" s="5">
        <f t="shared" si="1"/>
        <v>177893476</v>
      </c>
    </row>
    <row r="28" spans="1:9" x14ac:dyDescent="0.3">
      <c r="A28" s="3" t="s">
        <v>1</v>
      </c>
      <c r="B28" s="3" t="s">
        <v>15</v>
      </c>
      <c r="C28" s="4">
        <v>106</v>
      </c>
      <c r="D28" s="4">
        <v>812</v>
      </c>
      <c r="E28" s="4">
        <v>1370</v>
      </c>
      <c r="F28" s="4">
        <v>46619389</v>
      </c>
      <c r="G28" s="4">
        <v>88049793</v>
      </c>
      <c r="H28" s="5">
        <f t="shared" si="0"/>
        <v>2182</v>
      </c>
      <c r="I28" s="5">
        <f t="shared" si="1"/>
        <v>134669182</v>
      </c>
    </row>
    <row r="29" spans="1:9" x14ac:dyDescent="0.3">
      <c r="A29" s="3" t="s">
        <v>1</v>
      </c>
      <c r="B29" s="3" t="s">
        <v>16</v>
      </c>
      <c r="C29" s="4">
        <v>188</v>
      </c>
      <c r="D29" s="4">
        <v>1558</v>
      </c>
      <c r="E29" s="4">
        <v>2296</v>
      </c>
      <c r="F29" s="4">
        <v>108248899</v>
      </c>
      <c r="G29" s="4">
        <v>148603503</v>
      </c>
      <c r="H29" s="5">
        <f t="shared" si="0"/>
        <v>3854</v>
      </c>
      <c r="I29" s="5">
        <f t="shared" si="1"/>
        <v>256852402</v>
      </c>
    </row>
    <row r="30" spans="1:9" x14ac:dyDescent="0.3">
      <c r="A30" s="3" t="s">
        <v>1</v>
      </c>
      <c r="B30" s="3" t="s">
        <v>17</v>
      </c>
      <c r="C30" s="4">
        <v>115</v>
      </c>
      <c r="D30" s="4">
        <v>844</v>
      </c>
      <c r="E30" s="4">
        <v>1400</v>
      </c>
      <c r="F30" s="4">
        <v>64088933</v>
      </c>
      <c r="G30" s="4">
        <v>81029840</v>
      </c>
      <c r="H30" s="5">
        <f t="shared" si="0"/>
        <v>2244</v>
      </c>
      <c r="I30" s="5">
        <f t="shared" si="1"/>
        <v>145118773</v>
      </c>
    </row>
    <row r="31" spans="1:9" x14ac:dyDescent="0.3">
      <c r="A31" s="3" t="s">
        <v>1</v>
      </c>
      <c r="B31" s="3" t="s">
        <v>18</v>
      </c>
      <c r="C31" s="4">
        <v>234</v>
      </c>
      <c r="D31" s="4">
        <v>2021</v>
      </c>
      <c r="E31" s="4">
        <v>2676</v>
      </c>
      <c r="F31" s="4">
        <v>109317575</v>
      </c>
      <c r="G31" s="4">
        <v>159981021</v>
      </c>
      <c r="H31" s="5">
        <f t="shared" si="0"/>
        <v>4697</v>
      </c>
      <c r="I31" s="5">
        <f t="shared" si="1"/>
        <v>269298596</v>
      </c>
    </row>
    <row r="32" spans="1:9" x14ac:dyDescent="0.3">
      <c r="A32" s="3" t="s">
        <v>7</v>
      </c>
      <c r="B32" s="3" t="s">
        <v>9</v>
      </c>
      <c r="C32" s="4">
        <v>132</v>
      </c>
      <c r="D32" s="4">
        <v>1026</v>
      </c>
      <c r="E32" s="4">
        <v>1645</v>
      </c>
      <c r="F32" s="4">
        <v>67749238</v>
      </c>
      <c r="G32" s="4">
        <v>112084693</v>
      </c>
      <c r="H32" s="5">
        <f t="shared" si="0"/>
        <v>2671</v>
      </c>
      <c r="I32" s="5">
        <f t="shared" si="1"/>
        <v>179833931</v>
      </c>
    </row>
    <row r="33" spans="1:9" x14ac:dyDescent="0.3">
      <c r="A33" s="3" t="s">
        <v>7</v>
      </c>
      <c r="B33" s="3" t="s">
        <v>10</v>
      </c>
      <c r="C33" s="4">
        <v>106</v>
      </c>
      <c r="D33" s="4">
        <v>873</v>
      </c>
      <c r="E33" s="4">
        <v>1237</v>
      </c>
      <c r="F33" s="4">
        <v>59870309</v>
      </c>
      <c r="G33" s="4">
        <v>65821863</v>
      </c>
      <c r="H33" s="5">
        <f t="shared" si="0"/>
        <v>2110</v>
      </c>
      <c r="I33" s="5">
        <f t="shared" si="1"/>
        <v>125692172</v>
      </c>
    </row>
    <row r="34" spans="1:9" x14ac:dyDescent="0.3">
      <c r="A34" s="3" t="s">
        <v>7</v>
      </c>
      <c r="B34" s="3" t="s">
        <v>11</v>
      </c>
      <c r="C34" s="4">
        <v>223</v>
      </c>
      <c r="D34" s="4">
        <v>1920</v>
      </c>
      <c r="E34" s="4">
        <v>2545</v>
      </c>
      <c r="F34" s="4">
        <v>117233040</v>
      </c>
      <c r="G34" s="4">
        <v>158520499</v>
      </c>
      <c r="H34" s="5">
        <f t="shared" si="0"/>
        <v>4465</v>
      </c>
      <c r="I34" s="5">
        <f t="shared" si="1"/>
        <v>275753539</v>
      </c>
    </row>
    <row r="35" spans="1:9" x14ac:dyDescent="0.3">
      <c r="A35" s="3" t="s">
        <v>7</v>
      </c>
      <c r="B35" s="3" t="s">
        <v>12</v>
      </c>
      <c r="C35" s="4">
        <v>332</v>
      </c>
      <c r="D35" s="4">
        <v>2673</v>
      </c>
      <c r="E35" s="4">
        <v>4085</v>
      </c>
      <c r="F35" s="4">
        <v>168100008</v>
      </c>
      <c r="G35" s="4">
        <v>268919823</v>
      </c>
      <c r="H35" s="5">
        <f t="shared" si="0"/>
        <v>6758</v>
      </c>
      <c r="I35" s="5">
        <f t="shared" si="1"/>
        <v>437019831</v>
      </c>
    </row>
    <row r="36" spans="1:9" x14ac:dyDescent="0.3">
      <c r="A36" s="3" t="s">
        <v>7</v>
      </c>
      <c r="B36" s="3" t="s">
        <v>13</v>
      </c>
      <c r="C36" s="4">
        <v>128</v>
      </c>
      <c r="D36" s="4">
        <v>1071</v>
      </c>
      <c r="E36" s="4">
        <v>1541</v>
      </c>
      <c r="F36" s="4">
        <v>58433274</v>
      </c>
      <c r="G36" s="4">
        <v>104102481</v>
      </c>
      <c r="H36" s="5">
        <f t="shared" si="0"/>
        <v>2612</v>
      </c>
      <c r="I36" s="5">
        <f t="shared" si="1"/>
        <v>162535755</v>
      </c>
    </row>
    <row r="37" spans="1:9" x14ac:dyDescent="0.3">
      <c r="A37" s="3" t="s">
        <v>7</v>
      </c>
      <c r="B37" s="3" t="s">
        <v>14</v>
      </c>
      <c r="C37" s="4">
        <v>127</v>
      </c>
      <c r="D37" s="4">
        <v>958</v>
      </c>
      <c r="E37" s="4">
        <v>1567</v>
      </c>
      <c r="F37" s="4">
        <v>65020857</v>
      </c>
      <c r="G37" s="4">
        <v>96020605</v>
      </c>
      <c r="H37" s="5">
        <f t="shared" si="0"/>
        <v>2525</v>
      </c>
      <c r="I37" s="5">
        <f t="shared" si="1"/>
        <v>161041462</v>
      </c>
    </row>
    <row r="38" spans="1:9" x14ac:dyDescent="0.3">
      <c r="A38" s="3" t="s">
        <v>7</v>
      </c>
      <c r="B38" s="3" t="s">
        <v>15</v>
      </c>
      <c r="C38" s="4">
        <v>125</v>
      </c>
      <c r="D38" s="4">
        <v>1170</v>
      </c>
      <c r="E38" s="4">
        <v>1586</v>
      </c>
      <c r="F38" s="4">
        <v>76735481</v>
      </c>
      <c r="G38" s="4">
        <v>109566642</v>
      </c>
      <c r="H38" s="5">
        <f t="shared" si="0"/>
        <v>2756</v>
      </c>
      <c r="I38" s="5">
        <f t="shared" si="1"/>
        <v>186302123</v>
      </c>
    </row>
    <row r="39" spans="1:9" x14ac:dyDescent="0.3">
      <c r="A39" s="3" t="s">
        <v>7</v>
      </c>
      <c r="B39" s="3" t="s">
        <v>16</v>
      </c>
      <c r="C39" s="4">
        <v>221</v>
      </c>
      <c r="D39" s="4">
        <v>2001</v>
      </c>
      <c r="E39" s="4">
        <v>2547</v>
      </c>
      <c r="F39" s="4">
        <v>146021446</v>
      </c>
      <c r="G39" s="4">
        <v>145935928</v>
      </c>
      <c r="H39" s="5">
        <f t="shared" si="0"/>
        <v>4548</v>
      </c>
      <c r="I39" s="5">
        <f t="shared" si="1"/>
        <v>291957374</v>
      </c>
    </row>
    <row r="40" spans="1:9" x14ac:dyDescent="0.3">
      <c r="A40" s="3" t="s">
        <v>7</v>
      </c>
      <c r="B40" s="3" t="s">
        <v>17</v>
      </c>
      <c r="C40" s="4">
        <v>122</v>
      </c>
      <c r="D40" s="4">
        <v>1048</v>
      </c>
      <c r="E40" s="4">
        <v>1434</v>
      </c>
      <c r="F40" s="4">
        <v>65537990</v>
      </c>
      <c r="G40" s="4">
        <v>86962355</v>
      </c>
      <c r="H40" s="5">
        <f t="shared" si="0"/>
        <v>2482</v>
      </c>
      <c r="I40" s="5">
        <f t="shared" si="1"/>
        <v>152500345</v>
      </c>
    </row>
    <row r="41" spans="1:9" x14ac:dyDescent="0.3">
      <c r="A41" s="3" t="s">
        <v>7</v>
      </c>
      <c r="B41" s="3" t="s">
        <v>18</v>
      </c>
      <c r="C41" s="4">
        <v>231</v>
      </c>
      <c r="D41" s="4">
        <v>1926</v>
      </c>
      <c r="E41" s="4">
        <v>2593</v>
      </c>
      <c r="F41" s="4">
        <v>125928809</v>
      </c>
      <c r="G41" s="4">
        <v>160385459</v>
      </c>
      <c r="H41" s="5">
        <f t="shared" si="0"/>
        <v>4519</v>
      </c>
      <c r="I41" s="5">
        <f t="shared" si="1"/>
        <v>286314268</v>
      </c>
    </row>
    <row r="42" spans="1:9" x14ac:dyDescent="0.3">
      <c r="A42" s="3" t="s">
        <v>2</v>
      </c>
      <c r="B42" s="3" t="s">
        <v>9</v>
      </c>
      <c r="C42" s="4">
        <v>108</v>
      </c>
      <c r="D42" s="4">
        <v>1016</v>
      </c>
      <c r="E42" s="4">
        <v>1201</v>
      </c>
      <c r="F42" s="4">
        <v>62548837</v>
      </c>
      <c r="G42" s="4">
        <v>77230268</v>
      </c>
      <c r="H42" s="5">
        <f t="shared" si="0"/>
        <v>2217</v>
      </c>
      <c r="I42" s="5">
        <f t="shared" si="1"/>
        <v>139779105</v>
      </c>
    </row>
    <row r="43" spans="1:9" x14ac:dyDescent="0.3">
      <c r="A43" s="3" t="s">
        <v>2</v>
      </c>
      <c r="B43" s="3" t="s">
        <v>10</v>
      </c>
      <c r="C43" s="4">
        <v>137</v>
      </c>
      <c r="D43" s="4">
        <v>1110</v>
      </c>
      <c r="E43" s="4">
        <v>1610</v>
      </c>
      <c r="F43" s="4">
        <v>70292791</v>
      </c>
      <c r="G43" s="4">
        <v>89491835</v>
      </c>
      <c r="H43" s="5">
        <f t="shared" si="0"/>
        <v>2720</v>
      </c>
      <c r="I43" s="5">
        <f t="shared" si="1"/>
        <v>159784626</v>
      </c>
    </row>
    <row r="44" spans="1:9" x14ac:dyDescent="0.3">
      <c r="A44" s="3" t="s">
        <v>2</v>
      </c>
      <c r="B44" s="3" t="s">
        <v>11</v>
      </c>
      <c r="C44" s="4">
        <v>213</v>
      </c>
      <c r="D44" s="4">
        <v>1663</v>
      </c>
      <c r="E44" s="4">
        <v>2586</v>
      </c>
      <c r="F44" s="4">
        <v>104348183</v>
      </c>
      <c r="G44" s="4">
        <v>150583997</v>
      </c>
      <c r="H44" s="5">
        <f t="shared" si="0"/>
        <v>4249</v>
      </c>
      <c r="I44" s="5">
        <f t="shared" si="1"/>
        <v>254932180</v>
      </c>
    </row>
    <row r="45" spans="1:9" x14ac:dyDescent="0.3">
      <c r="A45" s="3" t="s">
        <v>2</v>
      </c>
      <c r="B45" s="3" t="s">
        <v>12</v>
      </c>
      <c r="C45" s="4">
        <v>356</v>
      </c>
      <c r="D45" s="4">
        <v>2748</v>
      </c>
      <c r="E45" s="4">
        <v>4458</v>
      </c>
      <c r="F45" s="4">
        <v>168566325</v>
      </c>
      <c r="G45" s="4">
        <v>275996831</v>
      </c>
      <c r="H45" s="5">
        <f t="shared" si="0"/>
        <v>7206</v>
      </c>
      <c r="I45" s="5">
        <f t="shared" si="1"/>
        <v>444563156</v>
      </c>
    </row>
    <row r="46" spans="1:9" x14ac:dyDescent="0.3">
      <c r="A46" s="3" t="s">
        <v>2</v>
      </c>
      <c r="B46" s="3" t="s">
        <v>13</v>
      </c>
      <c r="C46" s="4">
        <v>142</v>
      </c>
      <c r="D46" s="4">
        <v>1090</v>
      </c>
      <c r="E46" s="4">
        <v>1725</v>
      </c>
      <c r="F46" s="4">
        <v>79411451</v>
      </c>
      <c r="G46" s="4">
        <v>88542630</v>
      </c>
      <c r="H46" s="5">
        <f t="shared" si="0"/>
        <v>2815</v>
      </c>
      <c r="I46" s="5">
        <f t="shared" si="1"/>
        <v>167954081</v>
      </c>
    </row>
    <row r="47" spans="1:9" x14ac:dyDescent="0.3">
      <c r="A47" s="3" t="s">
        <v>2</v>
      </c>
      <c r="B47" s="3" t="s">
        <v>14</v>
      </c>
      <c r="C47" s="4">
        <v>103</v>
      </c>
      <c r="D47" s="4">
        <v>723</v>
      </c>
      <c r="E47" s="4">
        <v>1364</v>
      </c>
      <c r="F47" s="4">
        <v>37568206</v>
      </c>
      <c r="G47" s="4">
        <v>82270991</v>
      </c>
      <c r="H47" s="5">
        <f t="shared" si="0"/>
        <v>2087</v>
      </c>
      <c r="I47" s="5">
        <f t="shared" si="1"/>
        <v>119839197</v>
      </c>
    </row>
    <row r="48" spans="1:9" x14ac:dyDescent="0.3">
      <c r="A48" s="3" t="s">
        <v>2</v>
      </c>
      <c r="B48" s="3" t="s">
        <v>15</v>
      </c>
      <c r="C48" s="4">
        <v>148</v>
      </c>
      <c r="D48" s="4">
        <v>1349</v>
      </c>
      <c r="E48" s="4">
        <v>1585</v>
      </c>
      <c r="F48" s="4">
        <v>93259395</v>
      </c>
      <c r="G48" s="4">
        <v>103630007</v>
      </c>
      <c r="H48" s="5">
        <f t="shared" si="0"/>
        <v>2934</v>
      </c>
      <c r="I48" s="5">
        <f t="shared" si="1"/>
        <v>196889402</v>
      </c>
    </row>
    <row r="49" spans="1:9" x14ac:dyDescent="0.3">
      <c r="A49" s="3" t="s">
        <v>2</v>
      </c>
      <c r="B49" s="3" t="s">
        <v>16</v>
      </c>
      <c r="C49" s="4">
        <v>205</v>
      </c>
      <c r="D49" s="4">
        <v>2028</v>
      </c>
      <c r="E49" s="4">
        <v>2316</v>
      </c>
      <c r="F49" s="4">
        <v>123388759</v>
      </c>
      <c r="G49" s="4">
        <v>134970384</v>
      </c>
      <c r="H49" s="5">
        <f t="shared" si="0"/>
        <v>4344</v>
      </c>
      <c r="I49" s="5">
        <f t="shared" si="1"/>
        <v>258359143</v>
      </c>
    </row>
    <row r="50" spans="1:9" x14ac:dyDescent="0.3">
      <c r="A50" s="3" t="s">
        <v>2</v>
      </c>
      <c r="B50" s="3" t="s">
        <v>17</v>
      </c>
      <c r="C50" s="4">
        <v>109</v>
      </c>
      <c r="D50" s="4">
        <v>841</v>
      </c>
      <c r="E50" s="4">
        <v>1382</v>
      </c>
      <c r="F50" s="4">
        <v>45772360</v>
      </c>
      <c r="G50" s="4">
        <v>90147168</v>
      </c>
      <c r="H50" s="5">
        <f t="shared" si="0"/>
        <v>2223</v>
      </c>
      <c r="I50" s="5">
        <f t="shared" si="1"/>
        <v>135919528</v>
      </c>
    </row>
    <row r="51" spans="1:9" x14ac:dyDescent="0.3">
      <c r="A51" s="3" t="s">
        <v>2</v>
      </c>
      <c r="B51" s="3" t="s">
        <v>18</v>
      </c>
      <c r="C51" s="4">
        <v>226</v>
      </c>
      <c r="D51" s="4">
        <v>1748</v>
      </c>
      <c r="E51" s="4">
        <v>2802</v>
      </c>
      <c r="F51" s="4">
        <v>101397089</v>
      </c>
      <c r="G51" s="4">
        <v>191799641</v>
      </c>
      <c r="H51" s="5">
        <f t="shared" si="0"/>
        <v>4550</v>
      </c>
      <c r="I51" s="5">
        <f t="shared" si="1"/>
        <v>293196730</v>
      </c>
    </row>
    <row r="52" spans="1:9" x14ac:dyDescent="0.3">
      <c r="A52" s="3" t="s">
        <v>3</v>
      </c>
      <c r="B52" s="3" t="s">
        <v>9</v>
      </c>
      <c r="C52" s="4">
        <v>142</v>
      </c>
      <c r="D52" s="4">
        <v>1136</v>
      </c>
      <c r="E52" s="4">
        <v>1723</v>
      </c>
      <c r="F52" s="4">
        <v>75160143</v>
      </c>
      <c r="G52" s="4">
        <v>100034581</v>
      </c>
      <c r="H52" s="5">
        <f t="shared" si="0"/>
        <v>2859</v>
      </c>
      <c r="I52" s="5">
        <f t="shared" si="1"/>
        <v>175194724</v>
      </c>
    </row>
    <row r="53" spans="1:9" x14ac:dyDescent="0.3">
      <c r="A53" s="3" t="s">
        <v>3</v>
      </c>
      <c r="B53" s="3" t="s">
        <v>10</v>
      </c>
      <c r="C53" s="4">
        <v>108</v>
      </c>
      <c r="D53" s="4">
        <v>863</v>
      </c>
      <c r="E53" s="4">
        <v>1318</v>
      </c>
      <c r="F53" s="4">
        <v>55988687</v>
      </c>
      <c r="G53" s="4">
        <v>78234898</v>
      </c>
      <c r="H53" s="5">
        <f t="shared" si="0"/>
        <v>2181</v>
      </c>
      <c r="I53" s="5">
        <f t="shared" si="1"/>
        <v>134223585</v>
      </c>
    </row>
    <row r="54" spans="1:9" x14ac:dyDescent="0.3">
      <c r="A54" s="3" t="s">
        <v>3</v>
      </c>
      <c r="B54" s="3" t="s">
        <v>11</v>
      </c>
      <c r="C54" s="4">
        <v>212</v>
      </c>
      <c r="D54" s="4">
        <v>1835</v>
      </c>
      <c r="E54" s="4">
        <v>2491</v>
      </c>
      <c r="F54" s="4">
        <v>127717041</v>
      </c>
      <c r="G54" s="4">
        <v>156326068</v>
      </c>
      <c r="H54" s="5">
        <f t="shared" si="0"/>
        <v>4326</v>
      </c>
      <c r="I54" s="5">
        <f t="shared" si="1"/>
        <v>284043109</v>
      </c>
    </row>
    <row r="55" spans="1:9" x14ac:dyDescent="0.3">
      <c r="A55" s="3" t="s">
        <v>3</v>
      </c>
      <c r="B55" s="3" t="s">
        <v>12</v>
      </c>
      <c r="C55" s="4">
        <v>331</v>
      </c>
      <c r="D55" s="4">
        <v>2331</v>
      </c>
      <c r="E55" s="4">
        <v>3881</v>
      </c>
      <c r="F55" s="4">
        <v>173071714</v>
      </c>
      <c r="G55" s="4">
        <v>266495662</v>
      </c>
      <c r="H55" s="5">
        <f t="shared" si="0"/>
        <v>6212</v>
      </c>
      <c r="I55" s="5">
        <f t="shared" si="1"/>
        <v>439567376</v>
      </c>
    </row>
    <row r="56" spans="1:9" x14ac:dyDescent="0.3">
      <c r="A56" s="3" t="s">
        <v>3</v>
      </c>
      <c r="B56" s="3" t="s">
        <v>13</v>
      </c>
      <c r="C56" s="4">
        <v>106</v>
      </c>
      <c r="D56" s="4">
        <v>960</v>
      </c>
      <c r="E56" s="4">
        <v>1346</v>
      </c>
      <c r="F56" s="4">
        <v>61198867</v>
      </c>
      <c r="G56" s="4">
        <v>70455975</v>
      </c>
      <c r="H56" s="5">
        <f t="shared" si="0"/>
        <v>2306</v>
      </c>
      <c r="I56" s="5">
        <f t="shared" si="1"/>
        <v>131654842</v>
      </c>
    </row>
    <row r="57" spans="1:9" x14ac:dyDescent="0.3">
      <c r="A57" s="3" t="s">
        <v>3</v>
      </c>
      <c r="B57" s="3" t="s">
        <v>14</v>
      </c>
      <c r="C57" s="4">
        <v>131</v>
      </c>
      <c r="D57" s="4">
        <v>1426</v>
      </c>
      <c r="E57" s="4">
        <v>1437</v>
      </c>
      <c r="F57" s="4">
        <v>96296832</v>
      </c>
      <c r="G57" s="4">
        <v>82628180</v>
      </c>
      <c r="H57" s="5">
        <f t="shared" si="0"/>
        <v>2863</v>
      </c>
      <c r="I57" s="5">
        <f t="shared" si="1"/>
        <v>178925012</v>
      </c>
    </row>
    <row r="58" spans="1:9" x14ac:dyDescent="0.3">
      <c r="A58" s="3" t="s">
        <v>3</v>
      </c>
      <c r="B58" s="3" t="s">
        <v>15</v>
      </c>
      <c r="C58" s="4">
        <v>123</v>
      </c>
      <c r="D58" s="4">
        <v>864</v>
      </c>
      <c r="E58" s="4">
        <v>1727</v>
      </c>
      <c r="F58" s="4">
        <v>59155161</v>
      </c>
      <c r="G58" s="4">
        <v>109961223</v>
      </c>
      <c r="H58" s="5">
        <f t="shared" si="0"/>
        <v>2591</v>
      </c>
      <c r="I58" s="5">
        <f t="shared" si="1"/>
        <v>169116384</v>
      </c>
    </row>
    <row r="59" spans="1:9" x14ac:dyDescent="0.3">
      <c r="A59" s="3" t="s">
        <v>3</v>
      </c>
      <c r="B59" s="3" t="s">
        <v>16</v>
      </c>
      <c r="C59" s="4">
        <v>193</v>
      </c>
      <c r="D59" s="4">
        <v>1534</v>
      </c>
      <c r="E59" s="4">
        <v>2558</v>
      </c>
      <c r="F59" s="4">
        <v>93879781</v>
      </c>
      <c r="G59" s="4">
        <v>153125221</v>
      </c>
      <c r="H59" s="5">
        <f t="shared" si="0"/>
        <v>4092</v>
      </c>
      <c r="I59" s="5">
        <f t="shared" si="1"/>
        <v>247005002</v>
      </c>
    </row>
    <row r="60" spans="1:9" x14ac:dyDescent="0.3">
      <c r="A60" s="3" t="s">
        <v>3</v>
      </c>
      <c r="B60" s="3" t="s">
        <v>17</v>
      </c>
      <c r="C60" s="4">
        <v>108</v>
      </c>
      <c r="D60" s="4">
        <v>862</v>
      </c>
      <c r="E60" s="4">
        <v>1488</v>
      </c>
      <c r="F60" s="4">
        <v>47393871</v>
      </c>
      <c r="G60" s="4">
        <v>82741773</v>
      </c>
      <c r="H60" s="5">
        <f t="shared" si="0"/>
        <v>2350</v>
      </c>
      <c r="I60" s="5">
        <f t="shared" si="1"/>
        <v>130135644</v>
      </c>
    </row>
    <row r="61" spans="1:9" x14ac:dyDescent="0.3">
      <c r="A61" s="3" t="s">
        <v>3</v>
      </c>
      <c r="B61" s="3" t="s">
        <v>18</v>
      </c>
      <c r="C61" s="4">
        <v>219</v>
      </c>
      <c r="D61" s="4">
        <v>1882</v>
      </c>
      <c r="E61" s="4">
        <v>2801</v>
      </c>
      <c r="F61" s="4">
        <v>140408374</v>
      </c>
      <c r="G61" s="4">
        <v>160517612</v>
      </c>
      <c r="H61" s="5">
        <f t="shared" si="0"/>
        <v>4683</v>
      </c>
      <c r="I61" s="5">
        <f t="shared" si="1"/>
        <v>300925986</v>
      </c>
    </row>
    <row r="62" spans="1:9" x14ac:dyDescent="0.3">
      <c r="A62" s="3" t="s">
        <v>4</v>
      </c>
      <c r="B62" s="3" t="s">
        <v>9</v>
      </c>
      <c r="C62" s="4">
        <v>105</v>
      </c>
      <c r="D62" s="4">
        <v>884</v>
      </c>
      <c r="E62" s="4">
        <v>1218</v>
      </c>
      <c r="F62" s="4">
        <v>55331216</v>
      </c>
      <c r="G62" s="4">
        <v>74714983</v>
      </c>
      <c r="H62" s="5">
        <f t="shared" si="0"/>
        <v>2102</v>
      </c>
      <c r="I62" s="5">
        <f t="shared" si="1"/>
        <v>130046199</v>
      </c>
    </row>
    <row r="63" spans="1:9" x14ac:dyDescent="0.3">
      <c r="A63" s="3" t="s">
        <v>4</v>
      </c>
      <c r="B63" s="3" t="s">
        <v>10</v>
      </c>
      <c r="C63" s="4">
        <v>98</v>
      </c>
      <c r="D63" s="4">
        <v>601</v>
      </c>
      <c r="E63" s="4">
        <v>1432</v>
      </c>
      <c r="F63" s="4">
        <v>38531290</v>
      </c>
      <c r="G63" s="4">
        <v>80596650</v>
      </c>
      <c r="H63" s="5">
        <f t="shared" si="0"/>
        <v>2033</v>
      </c>
      <c r="I63" s="5">
        <f t="shared" si="1"/>
        <v>119127940</v>
      </c>
    </row>
    <row r="64" spans="1:9" x14ac:dyDescent="0.3">
      <c r="A64" s="3" t="s">
        <v>4</v>
      </c>
      <c r="B64" s="3" t="s">
        <v>11</v>
      </c>
      <c r="C64" s="4">
        <v>243</v>
      </c>
      <c r="D64" s="4">
        <v>2162</v>
      </c>
      <c r="E64" s="4">
        <v>2849</v>
      </c>
      <c r="F64" s="4">
        <v>140434530</v>
      </c>
      <c r="G64" s="4">
        <v>194157783</v>
      </c>
      <c r="H64" s="5">
        <f t="shared" si="0"/>
        <v>5011</v>
      </c>
      <c r="I64" s="5">
        <f t="shared" si="1"/>
        <v>334592313</v>
      </c>
    </row>
    <row r="65" spans="1:9" x14ac:dyDescent="0.3">
      <c r="A65" s="3" t="s">
        <v>4</v>
      </c>
      <c r="B65" s="3" t="s">
        <v>12</v>
      </c>
      <c r="C65" s="4">
        <v>336</v>
      </c>
      <c r="D65" s="4">
        <v>2874</v>
      </c>
      <c r="E65" s="4">
        <v>4351</v>
      </c>
      <c r="F65" s="4">
        <v>189405706</v>
      </c>
      <c r="G65" s="4">
        <v>284505202</v>
      </c>
      <c r="H65" s="5">
        <f t="shared" si="0"/>
        <v>7225</v>
      </c>
      <c r="I65" s="5">
        <f t="shared" si="1"/>
        <v>473910908</v>
      </c>
    </row>
    <row r="66" spans="1:9" x14ac:dyDescent="0.3">
      <c r="A66" s="3" t="s">
        <v>4</v>
      </c>
      <c r="B66" s="3" t="s">
        <v>13</v>
      </c>
      <c r="C66" s="4">
        <v>115</v>
      </c>
      <c r="D66" s="4">
        <v>821</v>
      </c>
      <c r="E66" s="4">
        <v>1543</v>
      </c>
      <c r="F66" s="4">
        <v>47715235</v>
      </c>
      <c r="G66" s="4">
        <v>95283797</v>
      </c>
      <c r="H66" s="5">
        <f t="shared" si="0"/>
        <v>2364</v>
      </c>
      <c r="I66" s="5">
        <f t="shared" si="1"/>
        <v>142999032</v>
      </c>
    </row>
    <row r="67" spans="1:9" x14ac:dyDescent="0.3">
      <c r="A67" s="3" t="s">
        <v>4</v>
      </c>
      <c r="B67" s="3" t="s">
        <v>14</v>
      </c>
      <c r="C67" s="4">
        <v>122</v>
      </c>
      <c r="D67" s="4">
        <v>978</v>
      </c>
      <c r="E67" s="4">
        <v>1346</v>
      </c>
      <c r="F67" s="4">
        <v>62307365</v>
      </c>
      <c r="G67" s="4">
        <v>90321553</v>
      </c>
      <c r="H67" s="5">
        <f t="shared" ref="H67:H71" si="2">D67+E67</f>
        <v>2324</v>
      </c>
      <c r="I67" s="5">
        <f t="shared" ref="I67:I71" si="3">F67+G67</f>
        <v>152628918</v>
      </c>
    </row>
    <row r="68" spans="1:9" x14ac:dyDescent="0.3">
      <c r="A68" s="3" t="s">
        <v>4</v>
      </c>
      <c r="B68" s="3" t="s">
        <v>15</v>
      </c>
      <c r="C68" s="4">
        <v>121</v>
      </c>
      <c r="D68" s="4">
        <v>809</v>
      </c>
      <c r="E68" s="4">
        <v>1627</v>
      </c>
      <c r="F68" s="4">
        <v>43857688</v>
      </c>
      <c r="G68" s="4">
        <v>98461070</v>
      </c>
      <c r="H68" s="5">
        <f t="shared" si="2"/>
        <v>2436</v>
      </c>
      <c r="I68" s="5">
        <f t="shared" si="3"/>
        <v>142318758</v>
      </c>
    </row>
    <row r="69" spans="1:9" x14ac:dyDescent="0.3">
      <c r="A69" s="3" t="s">
        <v>4</v>
      </c>
      <c r="B69" s="3" t="s">
        <v>16</v>
      </c>
      <c r="C69" s="4">
        <v>217</v>
      </c>
      <c r="D69" s="4">
        <v>2023</v>
      </c>
      <c r="E69" s="4">
        <v>2644</v>
      </c>
      <c r="F69" s="4">
        <v>130244399</v>
      </c>
      <c r="G69" s="4">
        <v>163437025</v>
      </c>
      <c r="H69" s="5">
        <f t="shared" si="2"/>
        <v>4667</v>
      </c>
      <c r="I69" s="5">
        <f t="shared" si="3"/>
        <v>293681424</v>
      </c>
    </row>
    <row r="70" spans="1:9" x14ac:dyDescent="0.3">
      <c r="A70" s="3" t="s">
        <v>4</v>
      </c>
      <c r="B70" s="3" t="s">
        <v>17</v>
      </c>
      <c r="C70" s="4">
        <v>105</v>
      </c>
      <c r="D70" s="4">
        <v>918</v>
      </c>
      <c r="E70" s="4">
        <v>1299</v>
      </c>
      <c r="F70" s="4">
        <v>68592902</v>
      </c>
      <c r="G70" s="4">
        <v>86365602</v>
      </c>
      <c r="H70" s="5">
        <f t="shared" si="2"/>
        <v>2217</v>
      </c>
      <c r="I70" s="5">
        <f t="shared" si="3"/>
        <v>154958504</v>
      </c>
    </row>
    <row r="71" spans="1:9" x14ac:dyDescent="0.3">
      <c r="A71" s="3" t="s">
        <v>4</v>
      </c>
      <c r="B71" s="3" t="s">
        <v>18</v>
      </c>
      <c r="C71" s="4">
        <v>181</v>
      </c>
      <c r="D71" s="4">
        <v>1476</v>
      </c>
      <c r="E71" s="4">
        <v>2460</v>
      </c>
      <c r="F71" s="4">
        <v>89773257</v>
      </c>
      <c r="G71" s="4">
        <v>168666903</v>
      </c>
      <c r="H71" s="5">
        <f t="shared" si="2"/>
        <v>3936</v>
      </c>
      <c r="I71" s="5">
        <f t="shared" si="3"/>
        <v>258440160</v>
      </c>
    </row>
    <row r="72" spans="1:9" x14ac:dyDescent="0.3">
      <c r="C72" s="1"/>
      <c r="D72" s="1"/>
      <c r="E72" s="1"/>
      <c r="F72" s="1"/>
    </row>
    <row r="73" spans="1:9" x14ac:dyDescent="0.3">
      <c r="C73" s="1"/>
      <c r="D73" s="1"/>
      <c r="E73" s="1"/>
      <c r="F73" s="1"/>
    </row>
    <row r="74" spans="1:9" x14ac:dyDescent="0.3">
      <c r="C74" s="1"/>
      <c r="D74" s="1"/>
      <c r="E74" s="1"/>
      <c r="F74" s="1"/>
    </row>
    <row r="75" spans="1:9" x14ac:dyDescent="0.3">
      <c r="C75" s="1"/>
      <c r="D75" s="1"/>
      <c r="E75" s="1"/>
      <c r="F75" s="1"/>
    </row>
    <row r="76" spans="1:9" x14ac:dyDescent="0.3">
      <c r="C76" s="1"/>
      <c r="D76" s="1"/>
      <c r="E76" s="1"/>
      <c r="F76" s="1"/>
    </row>
    <row r="77" spans="1:9" x14ac:dyDescent="0.3">
      <c r="C77" s="1"/>
      <c r="D77" s="1"/>
      <c r="E77" s="1"/>
      <c r="F77" s="1"/>
    </row>
    <row r="78" spans="1:9" x14ac:dyDescent="0.3">
      <c r="C78" s="1"/>
      <c r="D78" s="1"/>
      <c r="E78" s="1"/>
      <c r="F78" s="1"/>
    </row>
    <row r="79" spans="1:9" x14ac:dyDescent="0.3">
      <c r="C79" s="1"/>
      <c r="D79" s="1"/>
      <c r="E79" s="1"/>
      <c r="F79" s="1"/>
    </row>
    <row r="80" spans="1:9" x14ac:dyDescent="0.3">
      <c r="C80" s="1"/>
      <c r="D80" s="1"/>
      <c r="E80" s="1"/>
      <c r="F80" s="1"/>
    </row>
    <row r="81" spans="3:6" x14ac:dyDescent="0.3">
      <c r="C81" s="1"/>
      <c r="D81" s="1"/>
      <c r="E81" s="1"/>
      <c r="F81" s="1"/>
    </row>
    <row r="82" spans="3:6" x14ac:dyDescent="0.3">
      <c r="C82" s="1"/>
      <c r="D82" s="1"/>
      <c r="E82" s="1"/>
      <c r="F82" s="1"/>
    </row>
    <row r="83" spans="3:6" x14ac:dyDescent="0.3">
      <c r="C83" s="1"/>
      <c r="D83" s="1"/>
      <c r="E83" s="1"/>
      <c r="F83" s="1"/>
    </row>
    <row r="84" spans="3:6" x14ac:dyDescent="0.3">
      <c r="C84" s="1"/>
      <c r="D84" s="1"/>
      <c r="E84" s="1"/>
      <c r="F84" s="1"/>
    </row>
    <row r="85" spans="3:6" x14ac:dyDescent="0.3">
      <c r="C85" s="1"/>
      <c r="D85" s="1"/>
      <c r="E85" s="1"/>
      <c r="F85" s="1"/>
    </row>
    <row r="86" spans="3:6" x14ac:dyDescent="0.3">
      <c r="C86" s="1"/>
      <c r="D86" s="1"/>
      <c r="E86" s="1"/>
      <c r="F86" s="1"/>
    </row>
    <row r="87" spans="3:6" x14ac:dyDescent="0.3">
      <c r="C87" s="1"/>
      <c r="D87" s="1"/>
      <c r="E87" s="1"/>
      <c r="F87" s="1"/>
    </row>
    <row r="88" spans="3:6" x14ac:dyDescent="0.3">
      <c r="C88" s="1"/>
      <c r="D88" s="1"/>
      <c r="E88" s="1"/>
      <c r="F88" s="1"/>
    </row>
    <row r="89" spans="3:6" x14ac:dyDescent="0.3">
      <c r="C89" s="1"/>
      <c r="D89" s="1"/>
      <c r="E89" s="1"/>
      <c r="F89" s="1"/>
    </row>
    <row r="90" spans="3:6" x14ac:dyDescent="0.3">
      <c r="C90" s="1"/>
      <c r="D90" s="1"/>
      <c r="E90" s="1"/>
      <c r="F90" s="1"/>
    </row>
    <row r="91" spans="3:6" x14ac:dyDescent="0.3">
      <c r="C91" s="1"/>
      <c r="D91" s="1"/>
      <c r="E91" s="1"/>
      <c r="F91" s="1"/>
    </row>
    <row r="92" spans="3:6" x14ac:dyDescent="0.3">
      <c r="C92" s="1"/>
      <c r="D92" s="1"/>
      <c r="E92" s="1"/>
      <c r="F92" s="1"/>
    </row>
    <row r="93" spans="3:6" x14ac:dyDescent="0.3">
      <c r="C93" s="1"/>
      <c r="D93" s="1"/>
      <c r="E93" s="1"/>
      <c r="F93" s="1"/>
    </row>
    <row r="94" spans="3:6" x14ac:dyDescent="0.3">
      <c r="C94" s="1"/>
      <c r="D94" s="1"/>
      <c r="E94" s="1"/>
      <c r="F94" s="1"/>
    </row>
    <row r="95" spans="3:6" x14ac:dyDescent="0.3">
      <c r="C95" s="1"/>
      <c r="D95" s="1"/>
      <c r="E95" s="1"/>
      <c r="F95" s="1"/>
    </row>
    <row r="96" spans="3:6" x14ac:dyDescent="0.3">
      <c r="C96" s="1"/>
      <c r="D96" s="1"/>
      <c r="E96" s="1"/>
      <c r="F96" s="1"/>
    </row>
    <row r="97" spans="3:6" x14ac:dyDescent="0.3">
      <c r="C97" s="1"/>
      <c r="D97" s="1"/>
      <c r="E97" s="1"/>
      <c r="F97" s="1"/>
    </row>
    <row r="98" spans="3:6" x14ac:dyDescent="0.3">
      <c r="C98" s="1"/>
      <c r="D98" s="1"/>
      <c r="E98" s="1"/>
      <c r="F98" s="1"/>
    </row>
    <row r="99" spans="3:6" x14ac:dyDescent="0.3">
      <c r="C99" s="1"/>
      <c r="D99" s="1"/>
      <c r="E99" s="1"/>
      <c r="F99" s="1"/>
    </row>
    <row r="100" spans="3:6" x14ac:dyDescent="0.3">
      <c r="C100" s="1"/>
      <c r="D100" s="1"/>
      <c r="E100" s="1"/>
      <c r="F100" s="1"/>
    </row>
    <row r="101" spans="3:6" x14ac:dyDescent="0.3">
      <c r="C101" s="1"/>
      <c r="D101" s="1"/>
      <c r="E101" s="1"/>
      <c r="F101" s="1"/>
    </row>
    <row r="102" spans="3:6" x14ac:dyDescent="0.3">
      <c r="C102" s="1"/>
      <c r="D102" s="1"/>
      <c r="E102" s="1"/>
      <c r="F102" s="1"/>
    </row>
    <row r="103" spans="3:6" x14ac:dyDescent="0.3">
      <c r="C103" s="1"/>
      <c r="D103" s="1"/>
      <c r="E103" s="1"/>
      <c r="F103" s="1"/>
    </row>
    <row r="104" spans="3:6" x14ac:dyDescent="0.3">
      <c r="C104" s="1"/>
      <c r="D104" s="1"/>
      <c r="E104" s="1"/>
      <c r="F104" s="1"/>
    </row>
    <row r="105" spans="3:6" x14ac:dyDescent="0.3">
      <c r="C105" s="1"/>
      <c r="D105" s="1"/>
      <c r="E105" s="1"/>
      <c r="F105" s="1"/>
    </row>
    <row r="106" spans="3:6" x14ac:dyDescent="0.3">
      <c r="C106" s="1"/>
      <c r="D106" s="1"/>
      <c r="E106" s="1"/>
      <c r="F106" s="1"/>
    </row>
    <row r="107" spans="3:6" x14ac:dyDescent="0.3">
      <c r="C107" s="1"/>
      <c r="D107" s="1"/>
      <c r="E107" s="1"/>
      <c r="F107" s="1"/>
    </row>
    <row r="108" spans="3:6" x14ac:dyDescent="0.3">
      <c r="C108" s="1"/>
      <c r="D108" s="1"/>
      <c r="E108" s="1"/>
      <c r="F108" s="1"/>
    </row>
    <row r="109" spans="3:6" x14ac:dyDescent="0.3">
      <c r="C109" s="1"/>
      <c r="D109" s="1"/>
      <c r="E109" s="1"/>
      <c r="F109" s="1"/>
    </row>
    <row r="110" spans="3:6" x14ac:dyDescent="0.3">
      <c r="C110" s="1"/>
      <c r="D110" s="1"/>
      <c r="E110" s="1"/>
      <c r="F110" s="1"/>
    </row>
    <row r="111" spans="3:6" x14ac:dyDescent="0.3">
      <c r="C111" s="1"/>
      <c r="D111" s="1"/>
      <c r="E111" s="1"/>
      <c r="F111" s="1"/>
    </row>
    <row r="112" spans="3:6" x14ac:dyDescent="0.3">
      <c r="C112" s="1"/>
      <c r="D112" s="1"/>
      <c r="E112" s="1"/>
      <c r="F112" s="1"/>
    </row>
    <row r="113" spans="3:6" x14ac:dyDescent="0.3">
      <c r="C113" s="1"/>
      <c r="D113" s="1"/>
      <c r="E113" s="1"/>
      <c r="F113" s="1"/>
    </row>
    <row r="114" spans="3:6" x14ac:dyDescent="0.3">
      <c r="C114" s="1"/>
      <c r="D114" s="1"/>
      <c r="E114" s="1"/>
      <c r="F114" s="1"/>
    </row>
    <row r="115" spans="3:6" x14ac:dyDescent="0.3">
      <c r="C115" s="1"/>
      <c r="D115" s="1"/>
      <c r="E115" s="1"/>
      <c r="F115" s="1"/>
    </row>
    <row r="116" spans="3:6" x14ac:dyDescent="0.3">
      <c r="C116" s="1"/>
      <c r="D116" s="1"/>
      <c r="E116" s="1"/>
      <c r="F116" s="1"/>
    </row>
    <row r="117" spans="3:6" x14ac:dyDescent="0.3">
      <c r="C117" s="1"/>
      <c r="D117" s="1"/>
      <c r="E117" s="1"/>
      <c r="F117" s="1"/>
    </row>
    <row r="118" spans="3:6" x14ac:dyDescent="0.3">
      <c r="C118" s="1"/>
      <c r="D118" s="1"/>
      <c r="E118" s="1"/>
      <c r="F118" s="1"/>
    </row>
    <row r="119" spans="3:6" x14ac:dyDescent="0.3">
      <c r="C119" s="1"/>
      <c r="D119" s="1"/>
      <c r="E119" s="1"/>
      <c r="F119" s="1"/>
    </row>
    <row r="120" spans="3:6" x14ac:dyDescent="0.3">
      <c r="C120" s="1"/>
      <c r="D120" s="1"/>
      <c r="E120" s="1"/>
      <c r="F120" s="1"/>
    </row>
    <row r="121" spans="3:6" x14ac:dyDescent="0.3">
      <c r="C121" s="1"/>
      <c r="D121" s="1"/>
      <c r="E121" s="1"/>
      <c r="F121" s="1"/>
    </row>
    <row r="122" spans="3:6" x14ac:dyDescent="0.3">
      <c r="C122" s="1"/>
      <c r="D122" s="1"/>
      <c r="E122" s="1"/>
      <c r="F122" s="1"/>
    </row>
    <row r="123" spans="3:6" x14ac:dyDescent="0.3">
      <c r="C123" s="1"/>
      <c r="D123" s="1"/>
      <c r="E123" s="1"/>
      <c r="F123" s="1"/>
    </row>
    <row r="124" spans="3:6" x14ac:dyDescent="0.3">
      <c r="C124" s="1"/>
      <c r="D124" s="1"/>
      <c r="E124" s="1"/>
      <c r="F124" s="1"/>
    </row>
    <row r="125" spans="3:6" x14ac:dyDescent="0.3">
      <c r="C125" s="1"/>
      <c r="D125" s="1"/>
      <c r="E125" s="1"/>
      <c r="F125" s="1"/>
    </row>
    <row r="126" spans="3:6" x14ac:dyDescent="0.3">
      <c r="C126" s="1"/>
      <c r="D126" s="1"/>
      <c r="E126" s="1"/>
      <c r="F126" s="1"/>
    </row>
    <row r="127" spans="3:6" x14ac:dyDescent="0.3">
      <c r="C127" s="1"/>
      <c r="D127" s="1"/>
      <c r="E127" s="1"/>
      <c r="F127" s="1"/>
    </row>
    <row r="128" spans="3:6" x14ac:dyDescent="0.3">
      <c r="C128" s="1"/>
      <c r="D128" s="1"/>
      <c r="E128" s="1"/>
      <c r="F128" s="1"/>
    </row>
    <row r="129" spans="3:6" x14ac:dyDescent="0.3">
      <c r="C129" s="1"/>
      <c r="D129" s="1"/>
      <c r="E129" s="1"/>
      <c r="F129" s="1"/>
    </row>
    <row r="130" spans="3:6" x14ac:dyDescent="0.3">
      <c r="C130" s="1"/>
      <c r="D130" s="1"/>
      <c r="E130" s="1"/>
      <c r="F130" s="1"/>
    </row>
    <row r="131" spans="3:6" x14ac:dyDescent="0.3">
      <c r="C131" s="1"/>
      <c r="D131" s="1"/>
      <c r="E131" s="1"/>
      <c r="F131" s="1"/>
    </row>
    <row r="132" spans="3:6" x14ac:dyDescent="0.3">
      <c r="C132" s="1"/>
      <c r="D132" s="1"/>
      <c r="E132" s="1"/>
      <c r="F132" s="1"/>
    </row>
    <row r="133" spans="3:6" x14ac:dyDescent="0.3">
      <c r="C133" s="1"/>
      <c r="D133" s="1"/>
      <c r="E133" s="1"/>
      <c r="F133" s="1"/>
    </row>
    <row r="134" spans="3:6" x14ac:dyDescent="0.3">
      <c r="C134" s="1"/>
      <c r="D134" s="1"/>
      <c r="E134" s="1"/>
      <c r="F134" s="1"/>
    </row>
    <row r="135" spans="3:6" x14ac:dyDescent="0.3">
      <c r="C135" s="1"/>
      <c r="D135" s="1"/>
      <c r="E135" s="1"/>
      <c r="F135" s="1"/>
    </row>
    <row r="136" spans="3:6" x14ac:dyDescent="0.3">
      <c r="C136" s="1"/>
      <c r="D136" s="1"/>
      <c r="E136" s="1"/>
      <c r="F136" s="1"/>
    </row>
    <row r="137" spans="3:6" x14ac:dyDescent="0.3">
      <c r="C137" s="1"/>
      <c r="D137" s="1"/>
      <c r="E137" s="1"/>
      <c r="F137" s="1"/>
    </row>
    <row r="138" spans="3:6" x14ac:dyDescent="0.3">
      <c r="C138" s="1"/>
      <c r="D138" s="1"/>
      <c r="E138" s="1"/>
      <c r="F138" s="1"/>
    </row>
    <row r="139" spans="3:6" x14ac:dyDescent="0.3">
      <c r="C139" s="1"/>
      <c r="D139" s="1"/>
      <c r="E139" s="1"/>
      <c r="F139" s="1"/>
    </row>
    <row r="140" spans="3:6" x14ac:dyDescent="0.3">
      <c r="C140" s="1"/>
      <c r="D140" s="1"/>
      <c r="E140" s="1"/>
      <c r="F140" s="1"/>
    </row>
    <row r="141" spans="3:6" x14ac:dyDescent="0.3">
      <c r="C141" s="1"/>
      <c r="D141" s="1"/>
      <c r="E141" s="1"/>
      <c r="F141" s="1"/>
    </row>
    <row r="142" spans="3:6" x14ac:dyDescent="0.3">
      <c r="C142" s="1"/>
      <c r="D142" s="1"/>
      <c r="E142" s="1"/>
      <c r="F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 Wise Report</vt:lpstr>
      <vt:lpstr>Store Performance</vt:lpstr>
      <vt:lpstr>Sales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2025-11-22T05:37:47Z</dcterms:created>
  <dcterms:modified xsi:type="dcterms:W3CDTF">2025-11-22T19:17:52Z</dcterms:modified>
</cp:coreProperties>
</file>